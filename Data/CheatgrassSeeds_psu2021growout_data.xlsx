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gamba/Desktop/BRTE_data/"/>
    </mc:Choice>
  </mc:AlternateContent>
  <xr:revisionPtr revIDLastSave="0" documentId="13_ncr:1_{CE0751BA-642C-144B-B885-F29F763DCEBD}" xr6:coauthVersionLast="47" xr6:coauthVersionMax="47" xr10:uidLastSave="{00000000-0000-0000-0000-000000000000}"/>
  <bookViews>
    <workbookView xWindow="3160" yWindow="500" windowWidth="22480" windowHeight="17500" xr2:uid="{FD22C4AC-0A9B-A340-B151-53F42A789D56}"/>
  </bookViews>
  <sheets>
    <sheet name="2020" sheetId="2" r:id="rId1"/>
    <sheet name="all_coord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4" i="2"/>
  <c r="M76" i="2"/>
  <c r="M77" i="2"/>
  <c r="M78" i="2"/>
  <c r="M80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9" i="2"/>
  <c r="M100" i="2"/>
  <c r="M101" i="2"/>
  <c r="M103" i="2"/>
  <c r="M104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" i="2"/>
  <c r="L3" i="2"/>
  <c r="L4" i="2"/>
  <c r="L5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4" i="2"/>
  <c r="L76" i="2"/>
  <c r="L77" i="2"/>
  <c r="L78" i="2"/>
  <c r="L80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9" i="2"/>
  <c r="L100" i="2"/>
  <c r="L101" i="2"/>
  <c r="L103" i="2"/>
  <c r="L104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" i="2"/>
  <c r="C290" i="6" l="1"/>
  <c r="B290" i="6"/>
  <c r="C147" i="6"/>
  <c r="B147" i="6"/>
  <c r="C311" i="6"/>
  <c r="B311" i="6"/>
  <c r="C139" i="6"/>
  <c r="B139" i="6"/>
  <c r="C287" i="6"/>
  <c r="B287" i="6"/>
  <c r="C74" i="6"/>
  <c r="B74" i="6"/>
  <c r="S238" i="2" l="1"/>
  <c r="Q238" i="2" l="1"/>
  <c r="P238" i="2"/>
</calcChain>
</file>

<file path=xl/sharedStrings.xml><?xml version="1.0" encoding="utf-8"?>
<sst xmlns="http://schemas.openxmlformats.org/spreadsheetml/2006/main" count="2972" uniqueCount="434">
  <si>
    <t>NewSiteCode</t>
  </si>
  <si>
    <t>Latitude</t>
  </si>
  <si>
    <t>Longitude</t>
  </si>
  <si>
    <t>DateOfCollection</t>
  </si>
  <si>
    <t>Collector</t>
  </si>
  <si>
    <t>CloudyPeak1</t>
  </si>
  <si>
    <t>StonyCreek1</t>
  </si>
  <si>
    <t>Tekapo1</t>
  </si>
  <si>
    <t>Ruataniwha1</t>
  </si>
  <si>
    <t>F</t>
  </si>
  <si>
    <t>SteelheadPP1</t>
  </si>
  <si>
    <t>NorthThompsonPP1</t>
  </si>
  <si>
    <t>HaynesLease1</t>
  </si>
  <si>
    <t>DocEnglishBluffER1</t>
  </si>
  <si>
    <t>J. Headley/Starzomski</t>
  </si>
  <si>
    <t>K. McKeown/Starzomski</t>
  </si>
  <si>
    <t>Sungbuk1</t>
  </si>
  <si>
    <t>Noordwijk1</t>
  </si>
  <si>
    <t>Klyueva03</t>
  </si>
  <si>
    <t>Bessungen1</t>
  </si>
  <si>
    <t>Babaikha1</t>
  </si>
  <si>
    <t>ChesapeakeBeach1</t>
  </si>
  <si>
    <t>Jesse Lasky</t>
  </si>
  <si>
    <t>OFallon1</t>
  </si>
  <si>
    <t>Waterloo1</t>
  </si>
  <si>
    <t>HappyJacks1</t>
  </si>
  <si>
    <t>SumnerRd1</t>
  </si>
  <si>
    <t>Martin02</t>
  </si>
  <si>
    <t>ElkBisonPrairie1</t>
  </si>
  <si>
    <t>Kaspiysk1</t>
  </si>
  <si>
    <t>SouthCharleston1</t>
  </si>
  <si>
    <t>Lexington1</t>
  </si>
  <si>
    <t>TailOfTheDragon1</t>
  </si>
  <si>
    <t>Chattanooga1</t>
  </si>
  <si>
    <t>Gadsden1</t>
  </si>
  <si>
    <t>Etowah1</t>
  </si>
  <si>
    <t>BrownStreet1</t>
  </si>
  <si>
    <t>Richmond1</t>
  </si>
  <si>
    <t>R273568</t>
  </si>
  <si>
    <t>R287260</t>
  </si>
  <si>
    <t>R271595</t>
  </si>
  <si>
    <t>R268930</t>
  </si>
  <si>
    <t>R283955</t>
  </si>
  <si>
    <t>Thomas01</t>
  </si>
  <si>
    <t>Arcata1</t>
  </si>
  <si>
    <t>Stanislavschi01</t>
  </si>
  <si>
    <t>Tulln1</t>
  </si>
  <si>
    <t>Langenzersdorf1</t>
  </si>
  <si>
    <t>MarbleCanyon1</t>
  </si>
  <si>
    <t>MurraySettlement1</t>
  </si>
  <si>
    <t>N_planted</t>
  </si>
  <si>
    <t>N_germ</t>
  </si>
  <si>
    <t>DNA status</t>
  </si>
  <si>
    <t>germ_after</t>
  </si>
  <si>
    <t>note</t>
  </si>
  <si>
    <t>Shriver1</t>
  </si>
  <si>
    <t>HorseneckBeach1</t>
  </si>
  <si>
    <t>IslandBeach1</t>
  </si>
  <si>
    <t>y</t>
  </si>
  <si>
    <t>Shikellamy1</t>
  </si>
  <si>
    <t>n</t>
  </si>
  <si>
    <t>ShaversFork1</t>
  </si>
  <si>
    <t>Jonesboro1</t>
  </si>
  <si>
    <t>Carlyle1</t>
  </si>
  <si>
    <t>Fredericksburg1</t>
  </si>
  <si>
    <t>Springer1</t>
  </si>
  <si>
    <t>Springer2</t>
  </si>
  <si>
    <t>Springer3</t>
  </si>
  <si>
    <t>F1 for DNA</t>
  </si>
  <si>
    <t>Springer4</t>
  </si>
  <si>
    <t>Springer5</t>
  </si>
  <si>
    <t>Springer6</t>
  </si>
  <si>
    <t>DryLakes1</t>
  </si>
  <si>
    <t>Glyndon1</t>
  </si>
  <si>
    <t>Roosevelt1</t>
  </si>
  <si>
    <t>Troy1</t>
  </si>
  <si>
    <t>PagosaSpgs_CO</t>
  </si>
  <si>
    <t>MesaVerde_CO</t>
  </si>
  <si>
    <t>IceCaves_NM</t>
  </si>
  <si>
    <t>IronCreek_NM</t>
  </si>
  <si>
    <t>GilaSpgs_NM</t>
  </si>
  <si>
    <t>Carlisle1</t>
  </si>
  <si>
    <t>Milford1</t>
  </si>
  <si>
    <t>Vernon1</t>
  </si>
  <si>
    <t>WRJ1</t>
  </si>
  <si>
    <t>Libbytown1</t>
  </si>
  <si>
    <t>Edmonton1</t>
  </si>
  <si>
    <t>Port Clinton1</t>
  </si>
  <si>
    <t>MillikenMills1</t>
  </si>
  <si>
    <t>Birchmount1</t>
  </si>
  <si>
    <t>Culpeper1</t>
  </si>
  <si>
    <t>ClevelandNF1</t>
  </si>
  <si>
    <t>GinBeach1</t>
  </si>
  <si>
    <t>Comox1</t>
  </si>
  <si>
    <t>ClarkIsland1</t>
  </si>
  <si>
    <t>Oshkosh1</t>
  </si>
  <si>
    <t>SuciaIsland1</t>
  </si>
  <si>
    <t>FinelyNWR1</t>
  </si>
  <si>
    <t>FrazierMt1</t>
  </si>
  <si>
    <t>RockyPrairie1</t>
  </si>
  <si>
    <t>Van01</t>
  </si>
  <si>
    <t>Kingsville1</t>
  </si>
  <si>
    <t>Mississauga1</t>
  </si>
  <si>
    <t>Binbrook1</t>
  </si>
  <si>
    <t>Uppsala4</t>
  </si>
  <si>
    <t>Uppsala3</t>
  </si>
  <si>
    <t>PraderaDelAmor1</t>
  </si>
  <si>
    <t>SpezialeArg08</t>
  </si>
  <si>
    <t>PuestoBlanco</t>
  </si>
  <si>
    <t>Duluth</t>
  </si>
  <si>
    <t>StevensPoint</t>
  </si>
  <si>
    <t>Edgerton</t>
  </si>
  <si>
    <t>Howe</t>
  </si>
  <si>
    <t>Goshen</t>
  </si>
  <si>
    <t>Sandusky</t>
  </si>
  <si>
    <t>Pyle 022-1</t>
  </si>
  <si>
    <t>Pyle 021-1</t>
  </si>
  <si>
    <t>Pyle 026-1</t>
  </si>
  <si>
    <t>Milo</t>
  </si>
  <si>
    <t>Milo, via Mareneve</t>
  </si>
  <si>
    <t>S. Alfio</t>
  </si>
  <si>
    <t>Mount Etna</t>
  </si>
  <si>
    <t>Piano Battaglia</t>
  </si>
  <si>
    <t>Capestrano</t>
  </si>
  <si>
    <t>Kalambaka</t>
  </si>
  <si>
    <t>Meteora monasteries</t>
  </si>
  <si>
    <t>Monument</t>
  </si>
  <si>
    <t>Mourgkani</t>
  </si>
  <si>
    <t>Laerdal1</t>
  </si>
  <si>
    <t>Sogndal1</t>
  </si>
  <si>
    <t>Truro1</t>
  </si>
  <si>
    <t>Zemun1</t>
  </si>
  <si>
    <t>Mancillas01</t>
  </si>
  <si>
    <t>Turan1</t>
  </si>
  <si>
    <t>PI 203453</t>
  </si>
  <si>
    <t>PI 204412</t>
  </si>
  <si>
    <t>PI 204413</t>
  </si>
  <si>
    <t>PI 204416</t>
  </si>
  <si>
    <t>PI 206417</t>
  </si>
  <si>
    <t>PI 211003</t>
  </si>
  <si>
    <t>PI 219992</t>
  </si>
  <si>
    <t>PI 219993</t>
  </si>
  <si>
    <t>PI 219996</t>
  </si>
  <si>
    <t>PI 220000</t>
  </si>
  <si>
    <t>PI 220006</t>
  </si>
  <si>
    <t>PI 220007</t>
  </si>
  <si>
    <t>PI 220010</t>
  </si>
  <si>
    <t>PI 220575</t>
  </si>
  <si>
    <t>PI 220576</t>
  </si>
  <si>
    <t>PI 220578</t>
  </si>
  <si>
    <t>PI 220581</t>
  </si>
  <si>
    <t>PI 220583</t>
  </si>
  <si>
    <t>PI 221921</t>
  </si>
  <si>
    <t>PI 222238</t>
  </si>
  <si>
    <t>PI 227297</t>
  </si>
  <si>
    <t>PI 227356</t>
  </si>
  <si>
    <t>PI 228397</t>
  </si>
  <si>
    <t>PI 229485</t>
  </si>
  <si>
    <t>PI 245733</t>
  </si>
  <si>
    <t>PI 251216</t>
  </si>
  <si>
    <t>PI 311025</t>
  </si>
  <si>
    <t>PI 317421</t>
  </si>
  <si>
    <t>PI 362116</t>
  </si>
  <si>
    <t>PI 380765</t>
  </si>
  <si>
    <t>PI 392358</t>
  </si>
  <si>
    <t>PI 483443</t>
  </si>
  <si>
    <t>AAFC2</t>
  </si>
  <si>
    <t>AAFC4</t>
  </si>
  <si>
    <t>AAFC5</t>
  </si>
  <si>
    <t>AAFC6</t>
  </si>
  <si>
    <t>AAFC8</t>
  </si>
  <si>
    <t>AAFC9</t>
  </si>
  <si>
    <t>AAFC10</t>
  </si>
  <si>
    <t>Adler2</t>
  </si>
  <si>
    <t>Adler3</t>
  </si>
  <si>
    <t>Adler5</t>
  </si>
  <si>
    <t>Adler11</t>
  </si>
  <si>
    <t>Adler13</t>
  </si>
  <si>
    <t>Adler14</t>
  </si>
  <si>
    <t>Adler16</t>
  </si>
  <si>
    <t>Adler17</t>
  </si>
  <si>
    <t>Adler18</t>
  </si>
  <si>
    <t>Barnett1</t>
  </si>
  <si>
    <t>Baughman2</t>
  </si>
  <si>
    <t>Baughman3</t>
  </si>
  <si>
    <t>Baughman5</t>
  </si>
  <si>
    <t>Blumenthal1</t>
  </si>
  <si>
    <t>Blumenthal4</t>
  </si>
  <si>
    <t>Blumenthal5</t>
  </si>
  <si>
    <t>Blumenthal7</t>
  </si>
  <si>
    <t>Blumenthal8</t>
  </si>
  <si>
    <t>Blumenthal10</t>
  </si>
  <si>
    <t>Board1</t>
  </si>
  <si>
    <t>Bradford1</t>
  </si>
  <si>
    <t>Chambers1</t>
  </si>
  <si>
    <t>Chambers2</t>
  </si>
  <si>
    <t>Chambers4</t>
  </si>
  <si>
    <t>Chambers5</t>
  </si>
  <si>
    <t>Chambers6</t>
  </si>
  <si>
    <t>Chambers7</t>
  </si>
  <si>
    <t>Chambers8</t>
  </si>
  <si>
    <t>Chambers9</t>
  </si>
  <si>
    <t>Copeland1</t>
  </si>
  <si>
    <t>Copeland5</t>
  </si>
  <si>
    <t>Copeland9</t>
  </si>
  <si>
    <t>Copeland10</t>
  </si>
  <si>
    <t>Downs1</t>
  </si>
  <si>
    <t>Downs2</t>
  </si>
  <si>
    <t>Downs3</t>
  </si>
  <si>
    <t>Downs4</t>
  </si>
  <si>
    <t>Eshleman1</t>
  </si>
  <si>
    <t>Fleishman1</t>
  </si>
  <si>
    <t>Fleishman3</t>
  </si>
  <si>
    <t>Fleishman5</t>
  </si>
  <si>
    <t>Fleishman7</t>
  </si>
  <si>
    <t>Getts1</t>
  </si>
  <si>
    <t>Getts3</t>
  </si>
  <si>
    <t>Getts4</t>
  </si>
  <si>
    <t>Holdrege1</t>
  </si>
  <si>
    <t>Hufft1</t>
  </si>
  <si>
    <t>Hufft2</t>
  </si>
  <si>
    <t>JackieOtt1</t>
  </si>
  <si>
    <t>JackieOtt2</t>
  </si>
  <si>
    <t>JackieOtt5</t>
  </si>
  <si>
    <t>JackieOtt6</t>
  </si>
  <si>
    <t>JackieOtt7</t>
  </si>
  <si>
    <t>Lavin1</t>
  </si>
  <si>
    <t>Lavin2</t>
  </si>
  <si>
    <t>Lee1</t>
  </si>
  <si>
    <t>Lee2</t>
  </si>
  <si>
    <t>Lee3</t>
  </si>
  <si>
    <t>Lee4</t>
  </si>
  <si>
    <t>Lee5</t>
  </si>
  <si>
    <t>Leger1</t>
  </si>
  <si>
    <t>Maron1</t>
  </si>
  <si>
    <t>Maron2</t>
  </si>
  <si>
    <t>Porensky1</t>
  </si>
  <si>
    <t>Porensky12</t>
  </si>
  <si>
    <t>Porensky17</t>
  </si>
  <si>
    <t>Porensky30</t>
  </si>
  <si>
    <t>Pyke21</t>
  </si>
  <si>
    <t>Pyke3</t>
  </si>
  <si>
    <t>Pyke8</t>
  </si>
  <si>
    <t>Pyle1</t>
  </si>
  <si>
    <t>Pyle9</t>
  </si>
  <si>
    <t>Pyle10</t>
  </si>
  <si>
    <t>Pyle12</t>
  </si>
  <si>
    <t>Pyle17</t>
  </si>
  <si>
    <t>Pyle19</t>
  </si>
  <si>
    <t>Reed1</t>
  </si>
  <si>
    <t>Reed3</t>
  </si>
  <si>
    <t>Rinella1</t>
  </si>
  <si>
    <t>no more seeds</t>
  </si>
  <si>
    <t>Schupp1</t>
  </si>
  <si>
    <t>Schupp2</t>
  </si>
  <si>
    <t>Schupp3</t>
  </si>
  <si>
    <t>Schupp4</t>
  </si>
  <si>
    <t>Schupp5</t>
  </si>
  <si>
    <t>Shriver2</t>
  </si>
  <si>
    <t>Symstad1</t>
  </si>
  <si>
    <t>Symstad2</t>
  </si>
  <si>
    <t>Symstad3</t>
  </si>
  <si>
    <t>Symstad4</t>
  </si>
  <si>
    <t>Symstad5</t>
  </si>
  <si>
    <t>Symstad6</t>
  </si>
  <si>
    <t>Urza1</t>
  </si>
  <si>
    <t>Urza2</t>
  </si>
  <si>
    <t>Urza3</t>
  </si>
  <si>
    <t>Wilcox1</t>
  </si>
  <si>
    <t>Wilcox2</t>
  </si>
  <si>
    <t>Hufbauer1</t>
  </si>
  <si>
    <t>Chynoweth1</t>
  </si>
  <si>
    <t>Chynoweth2</t>
  </si>
  <si>
    <t>Chynoweth3</t>
  </si>
  <si>
    <t>Chynoweth5</t>
  </si>
  <si>
    <t>Chynoweth7</t>
  </si>
  <si>
    <t>Chynoweth8</t>
  </si>
  <si>
    <t>Germino BOP1</t>
  </si>
  <si>
    <t>Rain1</t>
  </si>
  <si>
    <t>Schrobenhausen1</t>
  </si>
  <si>
    <t>Monheim1</t>
  </si>
  <si>
    <t>RioGuadarrama1</t>
  </si>
  <si>
    <t>RioManzanares1</t>
  </si>
  <si>
    <t>ChervonaKalyna1</t>
  </si>
  <si>
    <t>Tuchyn1</t>
  </si>
  <si>
    <t>Zurich1</t>
  </si>
  <si>
    <t>KlamathMarshNWR1</t>
  </si>
  <si>
    <t>1 for DNA, 2 for seed</t>
  </si>
  <si>
    <t>B.sterilis1 (PI170257)</t>
  </si>
  <si>
    <t>B.sterilis2 (PI206550)</t>
  </si>
  <si>
    <t>Sequenced</t>
  </si>
  <si>
    <t>N_died</t>
  </si>
  <si>
    <t>B.fasciculatus</t>
  </si>
  <si>
    <t>T</t>
  </si>
  <si>
    <t>JGI</t>
  </si>
  <si>
    <t>DNA from one plant, no F1</t>
  </si>
  <si>
    <t>N_FT</t>
  </si>
  <si>
    <t>NA</t>
  </si>
  <si>
    <t>Jonathan Levine</t>
  </si>
  <si>
    <t>Randy Bodkins</t>
  </si>
  <si>
    <t>Grace McCartha</t>
  </si>
  <si>
    <t>Rachel Stone</t>
  </si>
  <si>
    <t>Lorri Kendrick</t>
  </si>
  <si>
    <t>Tim Springer</t>
  </si>
  <si>
    <t>Thomas Everst</t>
  </si>
  <si>
    <t>Chris Merkord</t>
  </si>
  <si>
    <t>Samuel Lufty</t>
  </si>
  <si>
    <t>Alvin Diamond</t>
  </si>
  <si>
    <t>Hopkins03</t>
  </si>
  <si>
    <t>Hopkins04</t>
  </si>
  <si>
    <t>Hopkins09</t>
  </si>
  <si>
    <t>Hopkins10</t>
  </si>
  <si>
    <t>Hopkins11</t>
  </si>
  <si>
    <t>Nate Hartley</t>
  </si>
  <si>
    <t>Molly Ladd</t>
  </si>
  <si>
    <t>Viktoria Wagner</t>
  </si>
  <si>
    <t>Eileen Wyza</t>
  </si>
  <si>
    <t>Mike Chen</t>
  </si>
  <si>
    <t>Madelyn Chappel</t>
  </si>
  <si>
    <t>Chalon Boesel</t>
  </si>
  <si>
    <t>Victoria Bustamante</t>
  </si>
  <si>
    <t>Randal Mindell</t>
  </si>
  <si>
    <t>Peter Dunwiddie</t>
  </si>
  <si>
    <t>Dana Hartel</t>
  </si>
  <si>
    <t>Howard Bruner</t>
  </si>
  <si>
    <t>Adam Searcy</t>
  </si>
  <si>
    <t>David Wilderman</t>
  </si>
  <si>
    <t>Acer VanWallendael</t>
  </si>
  <si>
    <t>Carl-Adam Wegenschimmel</t>
  </si>
  <si>
    <t>Charles Campbell</t>
  </si>
  <si>
    <t xml:space="preserve">H√•kan Rydin </t>
  </si>
  <si>
    <t>Jaime Braschi</t>
  </si>
  <si>
    <t>Peter Adler</t>
  </si>
  <si>
    <t>Diana Gamba</t>
  </si>
  <si>
    <t>Lysandra Pyle</t>
  </si>
  <si>
    <t>Massimo Cristofaro</t>
  </si>
  <si>
    <t>Torsten Eriksson</t>
  </si>
  <si>
    <t>Alex Hood</t>
  </si>
  <si>
    <t>Biljana Vidovic</t>
  </si>
  <si>
    <t>Marisa Mancillas</t>
  </si>
  <si>
    <t>Samantha vanDeurs</t>
  </si>
  <si>
    <t>Viktoria Ropak</t>
  </si>
  <si>
    <t>Hilary Turner</t>
  </si>
  <si>
    <t>Turkey</t>
  </si>
  <si>
    <t>Greece</t>
  </si>
  <si>
    <t>Iraq</t>
  </si>
  <si>
    <t>BRB4-5</t>
  </si>
  <si>
    <t>BRK6-7</t>
  </si>
  <si>
    <t>BRI3-1</t>
  </si>
  <si>
    <t>BRI2-7</t>
  </si>
  <si>
    <t>BRA4-2</t>
  </si>
  <si>
    <t>BRA3-2</t>
  </si>
  <si>
    <t>BRH1-3</t>
  </si>
  <si>
    <t>BrG2-3</t>
  </si>
  <si>
    <t>BRU2-4</t>
  </si>
  <si>
    <t>BRPo1-6</t>
  </si>
  <si>
    <t>BRPo2-1</t>
  </si>
  <si>
    <t>BRSp2-9</t>
  </si>
  <si>
    <t>Region</t>
  </si>
  <si>
    <t>Range</t>
  </si>
  <si>
    <t>SW_NA</t>
  </si>
  <si>
    <t>E_NA</t>
  </si>
  <si>
    <t>NW_NA</t>
  </si>
  <si>
    <t>Eur</t>
  </si>
  <si>
    <t>Med</t>
  </si>
  <si>
    <t>SA</t>
  </si>
  <si>
    <t>Asia</t>
  </si>
  <si>
    <t>introduced</t>
  </si>
  <si>
    <t>native</t>
  </si>
  <si>
    <t>Oceania</t>
  </si>
  <si>
    <t>Karlsruhe1</t>
  </si>
  <si>
    <t>Karlsruhe3</t>
  </si>
  <si>
    <t>Bielany1</t>
  </si>
  <si>
    <t>Gorsk1</t>
  </si>
  <si>
    <t>KowalewoPomorskie1</t>
  </si>
  <si>
    <t>Sierakowo1</t>
  </si>
  <si>
    <t>Bydgoszcz1</t>
  </si>
  <si>
    <t>GolubDobrzyn1</t>
  </si>
  <si>
    <t>Smolniki1</t>
  </si>
  <si>
    <t>Klonowo1</t>
  </si>
  <si>
    <t>Rybaki1</t>
  </si>
  <si>
    <t>Bachury1</t>
  </si>
  <si>
    <t>POLCHEM1</t>
  </si>
  <si>
    <t>B. japonicus</t>
  </si>
  <si>
    <t>B. sterilis</t>
  </si>
  <si>
    <t>N_seed</t>
  </si>
  <si>
    <t>na</t>
  </si>
  <si>
    <t>smut in spike</t>
  </si>
  <si>
    <t>F1 for DNA; smut in spike</t>
  </si>
  <si>
    <t>PopNum</t>
  </si>
  <si>
    <t>smut in seed</t>
  </si>
  <si>
    <t>looks like B. sterilis</t>
  </si>
  <si>
    <t>BoiseHigh</t>
  </si>
  <si>
    <t>Coburg</t>
  </si>
  <si>
    <t>Mnichovice</t>
  </si>
  <si>
    <t>Koserow</t>
  </si>
  <si>
    <t>Leipzig</t>
  </si>
  <si>
    <t>Siju01</t>
  </si>
  <si>
    <t>Siju02</t>
  </si>
  <si>
    <t>Siju03</t>
  </si>
  <si>
    <t>Siju04</t>
  </si>
  <si>
    <t>smut in seed; DNA from one plant but tube broke, no F1</t>
  </si>
  <si>
    <t>Dubois1</t>
  </si>
  <si>
    <t>LincolnNF1</t>
  </si>
  <si>
    <t>ArkansasValley_CO</t>
  </si>
  <si>
    <t>ChacoCanyon_NM</t>
  </si>
  <si>
    <t>Jemez_NM</t>
  </si>
  <si>
    <t>ElPrado_NM</t>
  </si>
  <si>
    <t>Lathrop_CO</t>
  </si>
  <si>
    <t>Pakowki1</t>
  </si>
  <si>
    <t>Marysville1</t>
  </si>
  <si>
    <t>Wellfleet1</t>
  </si>
  <si>
    <t>Lasky3</t>
  </si>
  <si>
    <t>Donnelly02</t>
  </si>
  <si>
    <t>MA1</t>
  </si>
  <si>
    <t>ZW1</t>
  </si>
  <si>
    <t>Adler09</t>
  </si>
  <si>
    <t>Davies03</t>
  </si>
  <si>
    <t>Pyle15</t>
  </si>
  <si>
    <t>Crimea1</t>
  </si>
  <si>
    <t>Crimea2</t>
  </si>
  <si>
    <t>Crimea3</t>
  </si>
  <si>
    <t>Fadd</t>
  </si>
  <si>
    <t>Rácalmás</t>
  </si>
  <si>
    <t>Cserkút</t>
  </si>
  <si>
    <t>Rosenow</t>
  </si>
  <si>
    <t>Kratzeburg</t>
  </si>
  <si>
    <t>MtHermon</t>
  </si>
  <si>
    <t>SierraNevadaLow</t>
  </si>
  <si>
    <t>SierraNevadaHigh</t>
  </si>
  <si>
    <t>seq2021</t>
  </si>
  <si>
    <t>seq2022</t>
  </si>
  <si>
    <t>N_survived</t>
  </si>
  <si>
    <t>prop_surv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</si>
</sst>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1D1C1D"/>
      <name val="Calibri"/>
      <family val="2"/>
    </font>
    <font>
      <sz val="12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 applyProtection="1">
      <alignment horizontal="left"/>
      <protection locked="0"/>
    </xf>
    <xf numFmtId="0" fontId="0" fillId="0" borderId="2" xfId="0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01E3-5405-A54F-A0AF-DDB6C896789D}">
  <dimension ref="A1:S24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7" sqref="P17"/>
    </sheetView>
  </sheetViews>
  <sheetFormatPr baseColWidth="10" defaultRowHeight="16" x14ac:dyDescent="0.2"/>
  <cols>
    <col min="1" max="1" width="10.83203125" style="25"/>
    <col min="2" max="2" width="17.33203125" style="25" customWidth="1"/>
    <col min="7" max="8" width="10.83203125" customWidth="1"/>
  </cols>
  <sheetData>
    <row r="1" spans="1:19" x14ac:dyDescent="0.2">
      <c r="A1" s="24" t="s">
        <v>389</v>
      </c>
      <c r="B1" s="24" t="s">
        <v>0</v>
      </c>
      <c r="C1" t="s">
        <v>1</v>
      </c>
      <c r="D1" t="s">
        <v>2</v>
      </c>
      <c r="E1" t="s">
        <v>358</v>
      </c>
      <c r="F1" t="s">
        <v>359</v>
      </c>
      <c r="G1" t="s">
        <v>4</v>
      </c>
      <c r="H1" t="s">
        <v>3</v>
      </c>
      <c r="I1" t="s">
        <v>50</v>
      </c>
      <c r="J1" t="s">
        <v>51</v>
      </c>
      <c r="K1" t="s">
        <v>291</v>
      </c>
      <c r="L1" t="s">
        <v>432</v>
      </c>
      <c r="M1" t="s">
        <v>433</v>
      </c>
      <c r="N1" t="s">
        <v>296</v>
      </c>
      <c r="O1" s="3" t="s">
        <v>385</v>
      </c>
      <c r="P1" s="3" t="s">
        <v>52</v>
      </c>
      <c r="Q1" s="5" t="s">
        <v>290</v>
      </c>
      <c r="R1" s="6" t="s">
        <v>53</v>
      </c>
      <c r="S1" s="3" t="s">
        <v>54</v>
      </c>
    </row>
    <row r="2" spans="1:19" x14ac:dyDescent="0.2">
      <c r="A2" s="24">
        <v>1</v>
      </c>
      <c r="B2" s="24" t="s">
        <v>55</v>
      </c>
      <c r="C2">
        <v>34.06</v>
      </c>
      <c r="D2">
        <v>-116.22</v>
      </c>
      <c r="E2" t="s">
        <v>360</v>
      </c>
      <c r="F2" t="s">
        <v>367</v>
      </c>
      <c r="G2" t="s">
        <v>297</v>
      </c>
      <c r="H2" t="s">
        <v>297</v>
      </c>
      <c r="I2">
        <v>3</v>
      </c>
      <c r="J2">
        <v>2</v>
      </c>
      <c r="K2">
        <v>0</v>
      </c>
      <c r="L2">
        <f>J2-K2</f>
        <v>2</v>
      </c>
      <c r="M2">
        <f>L2/J2</f>
        <v>1</v>
      </c>
      <c r="N2">
        <v>2</v>
      </c>
      <c r="P2" s="2" t="s">
        <v>58</v>
      </c>
      <c r="Q2" s="4" t="s">
        <v>293</v>
      </c>
      <c r="R2" s="2"/>
      <c r="S2" t="s">
        <v>294</v>
      </c>
    </row>
    <row r="3" spans="1:19" x14ac:dyDescent="0.2">
      <c r="A3" s="24">
        <v>2</v>
      </c>
      <c r="B3" s="24" t="s">
        <v>56</v>
      </c>
      <c r="C3">
        <v>41.507373000000001</v>
      </c>
      <c r="D3">
        <v>-71.059003000000004</v>
      </c>
      <c r="E3" t="s">
        <v>361</v>
      </c>
      <c r="F3" t="s">
        <v>367</v>
      </c>
      <c r="G3" t="s">
        <v>22</v>
      </c>
      <c r="H3" s="1">
        <v>44026</v>
      </c>
      <c r="I3">
        <v>3</v>
      </c>
      <c r="J3">
        <v>3</v>
      </c>
      <c r="K3">
        <v>0</v>
      </c>
      <c r="L3">
        <f t="shared" ref="L3:L66" si="0">J3-K3</f>
        <v>3</v>
      </c>
      <c r="M3">
        <f t="shared" ref="M3:M66" si="1">L3/J3</f>
        <v>1</v>
      </c>
      <c r="N3">
        <v>2</v>
      </c>
      <c r="P3" s="2" t="s">
        <v>58</v>
      </c>
      <c r="Q3" s="4" t="s">
        <v>293</v>
      </c>
      <c r="R3" s="2"/>
      <c r="S3" t="s">
        <v>294</v>
      </c>
    </row>
    <row r="4" spans="1:19" x14ac:dyDescent="0.2">
      <c r="A4" s="24">
        <v>3</v>
      </c>
      <c r="B4" s="24" t="s">
        <v>416</v>
      </c>
      <c r="C4">
        <v>43.31</v>
      </c>
      <c r="D4">
        <v>-112.27</v>
      </c>
      <c r="E4" t="s">
        <v>362</v>
      </c>
      <c r="F4" t="s">
        <v>367</v>
      </c>
      <c r="G4" t="s">
        <v>297</v>
      </c>
      <c r="H4" t="s">
        <v>297</v>
      </c>
      <c r="I4">
        <v>3</v>
      </c>
      <c r="J4">
        <v>3</v>
      </c>
      <c r="K4">
        <v>1</v>
      </c>
      <c r="L4">
        <f t="shared" si="0"/>
        <v>2</v>
      </c>
      <c r="M4">
        <f t="shared" si="1"/>
        <v>0.66666666666666663</v>
      </c>
      <c r="N4">
        <v>2</v>
      </c>
      <c r="P4" s="2" t="s">
        <v>58</v>
      </c>
      <c r="Q4" s="4" t="s">
        <v>293</v>
      </c>
      <c r="R4" s="2"/>
      <c r="S4" t="s">
        <v>294</v>
      </c>
    </row>
    <row r="5" spans="1:19" x14ac:dyDescent="0.2">
      <c r="A5" s="24">
        <v>5</v>
      </c>
      <c r="B5" s="24" t="s">
        <v>57</v>
      </c>
      <c r="C5">
        <v>39.799970999999999</v>
      </c>
      <c r="D5">
        <v>-74.093647000000004</v>
      </c>
      <c r="E5" t="s">
        <v>361</v>
      </c>
      <c r="F5" t="s">
        <v>367</v>
      </c>
      <c r="G5" t="s">
        <v>298</v>
      </c>
      <c r="H5" s="1">
        <v>43623</v>
      </c>
      <c r="I5">
        <v>3</v>
      </c>
      <c r="J5">
        <v>3</v>
      </c>
      <c r="K5">
        <v>1</v>
      </c>
      <c r="L5">
        <f t="shared" si="0"/>
        <v>2</v>
      </c>
      <c r="M5">
        <f t="shared" si="1"/>
        <v>0.66666666666666663</v>
      </c>
      <c r="N5">
        <v>2</v>
      </c>
      <c r="P5" s="2" t="s">
        <v>58</v>
      </c>
      <c r="Q5" s="4" t="s">
        <v>293</v>
      </c>
      <c r="R5" s="2"/>
    </row>
    <row r="6" spans="1:19" x14ac:dyDescent="0.2">
      <c r="A6" s="25">
        <v>6</v>
      </c>
      <c r="B6" s="25" t="s">
        <v>59</v>
      </c>
      <c r="C6">
        <v>40.881628999999997</v>
      </c>
      <c r="D6">
        <v>-76.801696000000007</v>
      </c>
      <c r="E6" t="s">
        <v>361</v>
      </c>
      <c r="F6" t="s">
        <v>367</v>
      </c>
      <c r="G6" t="s">
        <v>22</v>
      </c>
      <c r="H6" s="1">
        <v>43974</v>
      </c>
      <c r="I6">
        <v>3</v>
      </c>
      <c r="J6">
        <v>0</v>
      </c>
      <c r="K6" s="2" t="s">
        <v>386</v>
      </c>
      <c r="L6" s="2" t="s">
        <v>386</v>
      </c>
      <c r="M6" s="2" t="s">
        <v>386</v>
      </c>
      <c r="N6" s="2" t="s">
        <v>386</v>
      </c>
      <c r="O6">
        <v>0</v>
      </c>
      <c r="P6" s="2" t="s">
        <v>60</v>
      </c>
      <c r="Q6" s="4" t="s">
        <v>9</v>
      </c>
      <c r="R6" s="2">
        <v>0</v>
      </c>
      <c r="S6" t="s">
        <v>390</v>
      </c>
    </row>
    <row r="7" spans="1:19" x14ac:dyDescent="0.2">
      <c r="A7" s="24">
        <v>7</v>
      </c>
      <c r="B7" s="24" t="s">
        <v>61</v>
      </c>
      <c r="C7">
        <v>38.911839999999998</v>
      </c>
      <c r="D7">
        <v>-79.741269000000003</v>
      </c>
      <c r="E7" t="s">
        <v>361</v>
      </c>
      <c r="F7" t="s">
        <v>367</v>
      </c>
      <c r="G7" t="s">
        <v>299</v>
      </c>
      <c r="H7" s="1">
        <v>43996</v>
      </c>
      <c r="I7">
        <v>3</v>
      </c>
      <c r="J7">
        <v>3</v>
      </c>
      <c r="K7">
        <v>1</v>
      </c>
      <c r="L7">
        <f t="shared" si="0"/>
        <v>2</v>
      </c>
      <c r="M7">
        <f t="shared" si="1"/>
        <v>0.66666666666666663</v>
      </c>
      <c r="N7">
        <v>2</v>
      </c>
      <c r="P7" s="2" t="s">
        <v>58</v>
      </c>
      <c r="Q7" s="4" t="s">
        <v>293</v>
      </c>
      <c r="R7" s="2"/>
    </row>
    <row r="8" spans="1:19" x14ac:dyDescent="0.2">
      <c r="A8" s="24">
        <v>8</v>
      </c>
      <c r="B8" s="24" t="s">
        <v>62</v>
      </c>
      <c r="C8">
        <v>35.843204999999998</v>
      </c>
      <c r="D8">
        <v>-90.680971</v>
      </c>
      <c r="E8" t="s">
        <v>360</v>
      </c>
      <c r="F8" t="s">
        <v>367</v>
      </c>
      <c r="G8" t="s">
        <v>300</v>
      </c>
      <c r="H8" s="1">
        <v>43998</v>
      </c>
      <c r="I8">
        <v>3</v>
      </c>
      <c r="J8">
        <v>3</v>
      </c>
      <c r="K8">
        <v>0</v>
      </c>
      <c r="L8">
        <f t="shared" si="0"/>
        <v>3</v>
      </c>
      <c r="M8">
        <f t="shared" si="1"/>
        <v>1</v>
      </c>
      <c r="N8">
        <v>3</v>
      </c>
      <c r="P8" s="2" t="s">
        <v>58</v>
      </c>
      <c r="Q8" s="4" t="s">
        <v>293</v>
      </c>
      <c r="R8" s="2"/>
    </row>
    <row r="9" spans="1:19" x14ac:dyDescent="0.2">
      <c r="A9" s="24">
        <v>9</v>
      </c>
      <c r="B9" s="24" t="s">
        <v>63</v>
      </c>
      <c r="C9">
        <v>38.008611999999999</v>
      </c>
      <c r="D9">
        <v>-95.393790999999993</v>
      </c>
      <c r="E9" t="s">
        <v>360</v>
      </c>
      <c r="F9" t="s">
        <v>367</v>
      </c>
      <c r="G9" t="s">
        <v>301</v>
      </c>
      <c r="H9" s="1">
        <v>43999</v>
      </c>
      <c r="I9">
        <v>3</v>
      </c>
      <c r="J9">
        <v>3</v>
      </c>
      <c r="K9">
        <v>0</v>
      </c>
      <c r="L9">
        <f t="shared" si="0"/>
        <v>3</v>
      </c>
      <c r="M9">
        <f t="shared" si="1"/>
        <v>1</v>
      </c>
      <c r="N9">
        <v>3</v>
      </c>
      <c r="P9" s="2" t="s">
        <v>58</v>
      </c>
      <c r="Q9" s="4" t="s">
        <v>293</v>
      </c>
      <c r="R9" s="2"/>
    </row>
    <row r="10" spans="1:19" x14ac:dyDescent="0.2">
      <c r="A10" s="24">
        <v>10</v>
      </c>
      <c r="B10" s="24" t="s">
        <v>64</v>
      </c>
      <c r="C10">
        <v>30.274166999999998</v>
      </c>
      <c r="D10">
        <v>-98.871943999999999</v>
      </c>
      <c r="E10" t="s">
        <v>360</v>
      </c>
      <c r="F10" t="s">
        <v>367</v>
      </c>
      <c r="G10" t="s">
        <v>302</v>
      </c>
      <c r="H10" s="1">
        <v>44004</v>
      </c>
      <c r="I10">
        <v>3</v>
      </c>
      <c r="J10">
        <v>3</v>
      </c>
      <c r="K10">
        <v>1</v>
      </c>
      <c r="L10">
        <f t="shared" si="0"/>
        <v>2</v>
      </c>
      <c r="M10">
        <f t="shared" si="1"/>
        <v>0.66666666666666663</v>
      </c>
      <c r="N10">
        <v>3</v>
      </c>
      <c r="O10">
        <v>2</v>
      </c>
      <c r="P10" s="2" t="s">
        <v>58</v>
      </c>
      <c r="Q10" s="4" t="s">
        <v>293</v>
      </c>
      <c r="R10" s="2"/>
    </row>
    <row r="11" spans="1:19" x14ac:dyDescent="0.2">
      <c r="A11" s="24">
        <v>11</v>
      </c>
      <c r="B11" s="24" t="s">
        <v>65</v>
      </c>
      <c r="C11">
        <v>36.423937000000002</v>
      </c>
      <c r="D11">
        <v>-99.403846999999999</v>
      </c>
      <c r="E11" t="s">
        <v>360</v>
      </c>
      <c r="F11" t="s">
        <v>367</v>
      </c>
      <c r="G11" t="s">
        <v>303</v>
      </c>
      <c r="H11" s="1">
        <v>43996</v>
      </c>
      <c r="I11">
        <v>3</v>
      </c>
      <c r="J11">
        <v>3</v>
      </c>
      <c r="K11">
        <v>0</v>
      </c>
      <c r="L11">
        <f t="shared" si="0"/>
        <v>3</v>
      </c>
      <c r="M11">
        <f t="shared" si="1"/>
        <v>1</v>
      </c>
      <c r="N11">
        <v>3</v>
      </c>
      <c r="P11" s="2" t="s">
        <v>58</v>
      </c>
      <c r="Q11" s="4" t="s">
        <v>9</v>
      </c>
      <c r="R11" s="2"/>
    </row>
    <row r="12" spans="1:19" x14ac:dyDescent="0.2">
      <c r="A12" s="24">
        <v>12</v>
      </c>
      <c r="B12" s="24" t="s">
        <v>66</v>
      </c>
      <c r="C12">
        <v>36.426194000000002</v>
      </c>
      <c r="D12">
        <v>-99.397131000000002</v>
      </c>
      <c r="E12" t="s">
        <v>360</v>
      </c>
      <c r="F12" t="s">
        <v>367</v>
      </c>
      <c r="G12" t="s">
        <v>303</v>
      </c>
      <c r="H12" s="1">
        <v>43996</v>
      </c>
      <c r="I12">
        <v>3</v>
      </c>
      <c r="J12">
        <v>3</v>
      </c>
      <c r="K12">
        <v>0</v>
      </c>
      <c r="L12">
        <f t="shared" si="0"/>
        <v>3</v>
      </c>
      <c r="M12">
        <f t="shared" si="1"/>
        <v>1</v>
      </c>
      <c r="N12">
        <v>3</v>
      </c>
      <c r="P12" s="2" t="s">
        <v>58</v>
      </c>
      <c r="Q12" s="4" t="s">
        <v>293</v>
      </c>
      <c r="R12" s="2"/>
    </row>
    <row r="13" spans="1:19" x14ac:dyDescent="0.2">
      <c r="A13" s="24">
        <v>13</v>
      </c>
      <c r="B13" s="24" t="s">
        <v>67</v>
      </c>
      <c r="C13">
        <v>33.501648000000003</v>
      </c>
      <c r="D13">
        <v>-99.801514999999995</v>
      </c>
      <c r="E13" t="s">
        <v>360</v>
      </c>
      <c r="F13" t="s">
        <v>367</v>
      </c>
      <c r="G13" t="s">
        <v>303</v>
      </c>
      <c r="H13" s="1">
        <v>43997</v>
      </c>
      <c r="I13">
        <v>1</v>
      </c>
      <c r="J13">
        <v>1</v>
      </c>
      <c r="K13">
        <v>0</v>
      </c>
      <c r="L13">
        <f t="shared" si="0"/>
        <v>1</v>
      </c>
      <c r="M13">
        <f t="shared" si="1"/>
        <v>1</v>
      </c>
      <c r="N13" s="2" t="s">
        <v>386</v>
      </c>
      <c r="O13" s="2" t="s">
        <v>386</v>
      </c>
      <c r="P13" s="2" t="s">
        <v>60</v>
      </c>
      <c r="Q13" s="4" t="s">
        <v>9</v>
      </c>
      <c r="R13" s="2"/>
      <c r="S13" t="s">
        <v>383</v>
      </c>
    </row>
    <row r="14" spans="1:19" x14ac:dyDescent="0.2">
      <c r="A14" s="24">
        <v>14</v>
      </c>
      <c r="B14" s="24" t="s">
        <v>69</v>
      </c>
      <c r="C14">
        <v>35.290937</v>
      </c>
      <c r="D14">
        <v>-99.505347</v>
      </c>
      <c r="E14" t="s">
        <v>360</v>
      </c>
      <c r="F14" t="s">
        <v>367</v>
      </c>
      <c r="G14" t="s">
        <v>303</v>
      </c>
      <c r="H14" s="1">
        <v>43997</v>
      </c>
      <c r="I14">
        <v>3</v>
      </c>
      <c r="J14">
        <v>1</v>
      </c>
      <c r="K14">
        <v>0</v>
      </c>
      <c r="L14">
        <f t="shared" si="0"/>
        <v>1</v>
      </c>
      <c r="M14">
        <f t="shared" si="1"/>
        <v>1</v>
      </c>
      <c r="N14">
        <v>1</v>
      </c>
      <c r="P14" s="2" t="s">
        <v>60</v>
      </c>
      <c r="Q14" s="4" t="s">
        <v>9</v>
      </c>
      <c r="R14" s="2">
        <v>1</v>
      </c>
      <c r="S14" t="s">
        <v>68</v>
      </c>
    </row>
    <row r="15" spans="1:19" x14ac:dyDescent="0.2">
      <c r="A15" s="24">
        <v>15</v>
      </c>
      <c r="B15" s="24" t="s">
        <v>70</v>
      </c>
      <c r="C15">
        <v>36.61421</v>
      </c>
      <c r="D15">
        <v>-99.571241999999998</v>
      </c>
      <c r="E15" t="s">
        <v>360</v>
      </c>
      <c r="F15" t="s">
        <v>367</v>
      </c>
      <c r="G15" t="s">
        <v>303</v>
      </c>
      <c r="H15" s="1">
        <v>43998</v>
      </c>
      <c r="I15">
        <v>3</v>
      </c>
      <c r="J15">
        <v>3</v>
      </c>
      <c r="K15">
        <v>0</v>
      </c>
      <c r="L15">
        <f t="shared" si="0"/>
        <v>3</v>
      </c>
      <c r="M15">
        <f t="shared" si="1"/>
        <v>1</v>
      </c>
      <c r="N15">
        <v>3</v>
      </c>
      <c r="P15" s="2" t="s">
        <v>58</v>
      </c>
      <c r="Q15" s="4" t="s">
        <v>293</v>
      </c>
      <c r="R15" s="2"/>
    </row>
    <row r="16" spans="1:19" x14ac:dyDescent="0.2">
      <c r="A16" s="24">
        <v>16</v>
      </c>
      <c r="B16" s="24" t="s">
        <v>71</v>
      </c>
      <c r="C16">
        <v>36.422961999999998</v>
      </c>
      <c r="D16">
        <v>-99.407923999999994</v>
      </c>
      <c r="E16" t="s">
        <v>360</v>
      </c>
      <c r="F16" t="s">
        <v>367</v>
      </c>
      <c r="G16" t="s">
        <v>303</v>
      </c>
      <c r="H16" s="1">
        <v>43999</v>
      </c>
      <c r="I16">
        <v>3</v>
      </c>
      <c r="J16">
        <v>3</v>
      </c>
      <c r="K16">
        <v>0</v>
      </c>
      <c r="L16">
        <f t="shared" si="0"/>
        <v>3</v>
      </c>
      <c r="M16">
        <f t="shared" si="1"/>
        <v>1</v>
      </c>
      <c r="N16">
        <v>3</v>
      </c>
      <c r="P16" s="2" t="s">
        <v>58</v>
      </c>
      <c r="Q16" s="4" t="s">
        <v>9</v>
      </c>
      <c r="R16" s="2"/>
    </row>
    <row r="17" spans="1:19" x14ac:dyDescent="0.2">
      <c r="A17" s="24">
        <v>17</v>
      </c>
      <c r="B17" s="24" t="s">
        <v>72</v>
      </c>
      <c r="C17">
        <v>34.555950000000003</v>
      </c>
      <c r="D17">
        <v>-119.243453</v>
      </c>
      <c r="E17" t="s">
        <v>360</v>
      </c>
      <c r="F17" t="s">
        <v>367</v>
      </c>
      <c r="G17" t="s">
        <v>304</v>
      </c>
      <c r="I17">
        <v>3</v>
      </c>
      <c r="J17">
        <v>3</v>
      </c>
      <c r="K17">
        <v>0</v>
      </c>
      <c r="L17">
        <f t="shared" si="0"/>
        <v>3</v>
      </c>
      <c r="M17">
        <f t="shared" si="1"/>
        <v>1</v>
      </c>
      <c r="N17">
        <v>3</v>
      </c>
      <c r="P17" s="2" t="s">
        <v>58</v>
      </c>
      <c r="Q17" s="4" t="s">
        <v>293</v>
      </c>
      <c r="R17" s="2"/>
    </row>
    <row r="18" spans="1:19" x14ac:dyDescent="0.2">
      <c r="A18" s="24">
        <v>18</v>
      </c>
      <c r="B18" s="24" t="s">
        <v>73</v>
      </c>
      <c r="C18">
        <v>46.846183000000003</v>
      </c>
      <c r="D18">
        <v>-96.476555000000005</v>
      </c>
      <c r="E18" t="s">
        <v>362</v>
      </c>
      <c r="F18" t="s">
        <v>367</v>
      </c>
      <c r="G18" t="s">
        <v>305</v>
      </c>
      <c r="H18" s="1">
        <v>43999</v>
      </c>
      <c r="I18">
        <v>3</v>
      </c>
      <c r="J18">
        <v>3</v>
      </c>
      <c r="K18">
        <v>0</v>
      </c>
      <c r="L18">
        <f t="shared" si="0"/>
        <v>3</v>
      </c>
      <c r="M18">
        <f t="shared" si="1"/>
        <v>1</v>
      </c>
      <c r="N18">
        <v>3</v>
      </c>
      <c r="P18" s="2" t="s">
        <v>58</v>
      </c>
      <c r="Q18" s="4" t="s">
        <v>293</v>
      </c>
      <c r="R18" s="2"/>
    </row>
    <row r="19" spans="1:19" x14ac:dyDescent="0.2">
      <c r="A19" s="24">
        <v>19</v>
      </c>
      <c r="B19" s="24" t="s">
        <v>74</v>
      </c>
      <c r="C19">
        <v>30.495241669999999</v>
      </c>
      <c r="D19">
        <v>-100.0180417</v>
      </c>
      <c r="E19" t="s">
        <v>360</v>
      </c>
      <c r="F19" t="s">
        <v>367</v>
      </c>
      <c r="G19" t="s">
        <v>306</v>
      </c>
      <c r="I19">
        <v>3</v>
      </c>
      <c r="J19">
        <v>2</v>
      </c>
      <c r="K19">
        <v>0</v>
      </c>
      <c r="L19">
        <f t="shared" si="0"/>
        <v>2</v>
      </c>
      <c r="M19">
        <f t="shared" si="1"/>
        <v>1</v>
      </c>
      <c r="N19">
        <v>2</v>
      </c>
      <c r="P19" s="2" t="s">
        <v>58</v>
      </c>
      <c r="Q19" s="4" t="s">
        <v>293</v>
      </c>
      <c r="R19" s="2"/>
    </row>
    <row r="20" spans="1:19" x14ac:dyDescent="0.2">
      <c r="A20" s="25">
        <v>20</v>
      </c>
      <c r="B20" s="25" t="s">
        <v>75</v>
      </c>
      <c r="C20">
        <v>31.842614999999999</v>
      </c>
      <c r="D20">
        <v>-85.892871</v>
      </c>
      <c r="E20" t="s">
        <v>361</v>
      </c>
      <c r="F20" t="s">
        <v>367</v>
      </c>
      <c r="G20" t="s">
        <v>307</v>
      </c>
      <c r="I20">
        <v>3</v>
      </c>
      <c r="J20">
        <v>0</v>
      </c>
      <c r="K20" s="2" t="s">
        <v>386</v>
      </c>
      <c r="L20" s="2" t="s">
        <v>386</v>
      </c>
      <c r="M20" s="2" t="s">
        <v>386</v>
      </c>
      <c r="N20" s="2" t="s">
        <v>386</v>
      </c>
      <c r="O20">
        <v>0</v>
      </c>
      <c r="P20" s="2" t="s">
        <v>60</v>
      </c>
      <c r="Q20" s="4" t="s">
        <v>9</v>
      </c>
      <c r="R20" s="2">
        <v>0</v>
      </c>
      <c r="S20" t="s">
        <v>401</v>
      </c>
    </row>
    <row r="21" spans="1:19" x14ac:dyDescent="0.2">
      <c r="A21" s="24">
        <v>22</v>
      </c>
      <c r="B21" s="24" t="s">
        <v>76</v>
      </c>
      <c r="C21">
        <v>37.281370000000003</v>
      </c>
      <c r="D21">
        <v>-107.06855</v>
      </c>
      <c r="E21" t="s">
        <v>360</v>
      </c>
      <c r="F21" t="s">
        <v>367</v>
      </c>
      <c r="G21" t="s">
        <v>308</v>
      </c>
      <c r="H21" s="1">
        <v>44000</v>
      </c>
      <c r="I21">
        <v>3</v>
      </c>
      <c r="J21">
        <v>3</v>
      </c>
      <c r="K21">
        <v>1</v>
      </c>
      <c r="L21">
        <f t="shared" si="0"/>
        <v>2</v>
      </c>
      <c r="M21">
        <f t="shared" si="1"/>
        <v>0.66666666666666663</v>
      </c>
      <c r="N21">
        <v>2</v>
      </c>
      <c r="P21" s="2" t="s">
        <v>58</v>
      </c>
      <c r="Q21" s="4" t="s">
        <v>293</v>
      </c>
      <c r="R21" s="2"/>
    </row>
    <row r="22" spans="1:19" x14ac:dyDescent="0.2">
      <c r="A22" s="24">
        <v>23</v>
      </c>
      <c r="B22" s="24" t="s">
        <v>77</v>
      </c>
      <c r="C22">
        <v>37.15607</v>
      </c>
      <c r="D22">
        <v>-108.46339999999999</v>
      </c>
      <c r="E22" t="s">
        <v>360</v>
      </c>
      <c r="F22" t="s">
        <v>367</v>
      </c>
      <c r="G22" t="s">
        <v>309</v>
      </c>
      <c r="H22" s="1">
        <v>44001</v>
      </c>
      <c r="I22">
        <v>3</v>
      </c>
      <c r="J22">
        <v>3</v>
      </c>
      <c r="K22">
        <v>2</v>
      </c>
      <c r="L22">
        <f t="shared" si="0"/>
        <v>1</v>
      </c>
      <c r="M22">
        <f t="shared" si="1"/>
        <v>0.33333333333333331</v>
      </c>
      <c r="N22">
        <v>1</v>
      </c>
      <c r="P22" s="2" t="s">
        <v>58</v>
      </c>
      <c r="Q22" s="4" t="s">
        <v>293</v>
      </c>
      <c r="R22" s="2"/>
    </row>
    <row r="23" spans="1:19" x14ac:dyDescent="0.2">
      <c r="A23" s="24">
        <v>24</v>
      </c>
      <c r="B23" s="24" t="s">
        <v>78</v>
      </c>
      <c r="C23">
        <v>35.000070000000001</v>
      </c>
      <c r="D23">
        <v>-108.07323</v>
      </c>
      <c r="E23" t="s">
        <v>360</v>
      </c>
      <c r="F23" t="s">
        <v>367</v>
      </c>
      <c r="G23" t="s">
        <v>310</v>
      </c>
      <c r="H23" s="1">
        <v>44002</v>
      </c>
      <c r="I23">
        <v>3</v>
      </c>
      <c r="J23">
        <v>3</v>
      </c>
      <c r="K23">
        <v>1</v>
      </c>
      <c r="L23">
        <f t="shared" si="0"/>
        <v>2</v>
      </c>
      <c r="M23">
        <f t="shared" si="1"/>
        <v>0.66666666666666663</v>
      </c>
      <c r="N23">
        <v>2</v>
      </c>
      <c r="P23" s="2" t="s">
        <v>58</v>
      </c>
      <c r="Q23" s="4" t="s">
        <v>293</v>
      </c>
      <c r="R23" s="2"/>
    </row>
    <row r="24" spans="1:19" x14ac:dyDescent="0.2">
      <c r="A24" s="24">
        <v>25</v>
      </c>
      <c r="B24" s="24" t="s">
        <v>79</v>
      </c>
      <c r="C24">
        <v>32.909610000000001</v>
      </c>
      <c r="D24">
        <v>-107.8039</v>
      </c>
      <c r="E24" t="s">
        <v>360</v>
      </c>
      <c r="F24" t="s">
        <v>367</v>
      </c>
      <c r="G24" t="s">
        <v>311</v>
      </c>
      <c r="H24" s="1">
        <v>44002</v>
      </c>
      <c r="I24">
        <v>3</v>
      </c>
      <c r="J24">
        <v>3</v>
      </c>
      <c r="K24">
        <v>0</v>
      </c>
      <c r="L24">
        <f t="shared" si="0"/>
        <v>3</v>
      </c>
      <c r="M24">
        <f t="shared" si="1"/>
        <v>1</v>
      </c>
      <c r="N24">
        <v>3</v>
      </c>
      <c r="P24" s="2" t="s">
        <v>58</v>
      </c>
      <c r="Q24" s="4" t="s">
        <v>293</v>
      </c>
      <c r="R24" s="2"/>
    </row>
    <row r="25" spans="1:19" x14ac:dyDescent="0.2">
      <c r="A25" s="24">
        <v>26</v>
      </c>
      <c r="B25" s="24" t="s">
        <v>80</v>
      </c>
      <c r="C25">
        <v>33.23028</v>
      </c>
      <c r="D25">
        <v>-108.25767999999999</v>
      </c>
      <c r="E25" t="s">
        <v>360</v>
      </c>
      <c r="F25" t="s">
        <v>367</v>
      </c>
      <c r="G25" t="s">
        <v>312</v>
      </c>
      <c r="H25" s="1">
        <v>44002</v>
      </c>
      <c r="I25">
        <v>3</v>
      </c>
      <c r="J25">
        <v>3</v>
      </c>
      <c r="K25">
        <v>0</v>
      </c>
      <c r="L25">
        <f t="shared" si="0"/>
        <v>3</v>
      </c>
      <c r="M25">
        <f t="shared" si="1"/>
        <v>1</v>
      </c>
      <c r="N25">
        <v>3</v>
      </c>
      <c r="P25" s="2" t="s">
        <v>58</v>
      </c>
      <c r="Q25" s="4" t="s">
        <v>293</v>
      </c>
      <c r="R25" s="2"/>
    </row>
    <row r="26" spans="1:19" x14ac:dyDescent="0.2">
      <c r="A26" s="24">
        <v>27</v>
      </c>
      <c r="B26" s="24" t="s">
        <v>81</v>
      </c>
      <c r="C26">
        <v>40.206715000000003</v>
      </c>
      <c r="D26">
        <v>-77.186863000000002</v>
      </c>
      <c r="E26" t="s">
        <v>361</v>
      </c>
      <c r="F26" t="s">
        <v>367</v>
      </c>
      <c r="G26" t="s">
        <v>313</v>
      </c>
      <c r="H26" s="1">
        <v>44012</v>
      </c>
      <c r="I26">
        <v>3</v>
      </c>
      <c r="J26">
        <v>2</v>
      </c>
      <c r="K26">
        <v>0</v>
      </c>
      <c r="L26">
        <f t="shared" si="0"/>
        <v>2</v>
      </c>
      <c r="M26">
        <f t="shared" si="1"/>
        <v>1</v>
      </c>
      <c r="N26">
        <v>2</v>
      </c>
      <c r="P26" s="2" t="s">
        <v>58</v>
      </c>
      <c r="Q26" s="4" t="s">
        <v>293</v>
      </c>
      <c r="R26" s="2"/>
    </row>
    <row r="27" spans="1:19" x14ac:dyDescent="0.2">
      <c r="A27" s="24">
        <v>28</v>
      </c>
      <c r="B27" s="24" t="s">
        <v>82</v>
      </c>
      <c r="C27">
        <v>42.153638999999998</v>
      </c>
      <c r="D27">
        <v>-71.489121999999995</v>
      </c>
      <c r="E27" t="s">
        <v>361</v>
      </c>
      <c r="F27" t="s">
        <v>367</v>
      </c>
      <c r="G27" t="s">
        <v>22</v>
      </c>
      <c r="H27" s="1">
        <v>44023</v>
      </c>
      <c r="I27">
        <v>3</v>
      </c>
      <c r="J27">
        <v>3</v>
      </c>
      <c r="K27">
        <v>0</v>
      </c>
      <c r="L27">
        <f t="shared" si="0"/>
        <v>3</v>
      </c>
      <c r="M27">
        <f t="shared" si="1"/>
        <v>1</v>
      </c>
      <c r="N27">
        <v>3</v>
      </c>
      <c r="P27" s="2" t="s">
        <v>58</v>
      </c>
      <c r="Q27" s="4" t="s">
        <v>293</v>
      </c>
      <c r="R27" s="2"/>
    </row>
    <row r="28" spans="1:19" x14ac:dyDescent="0.2">
      <c r="A28" s="24">
        <v>29</v>
      </c>
      <c r="B28" s="24" t="s">
        <v>83</v>
      </c>
      <c r="C28">
        <v>42.737524000000001</v>
      </c>
      <c r="D28">
        <v>-72.470337000000001</v>
      </c>
      <c r="E28" t="s">
        <v>361</v>
      </c>
      <c r="F28" t="s">
        <v>367</v>
      </c>
      <c r="G28" t="s">
        <v>22</v>
      </c>
      <c r="H28" s="1">
        <v>44023</v>
      </c>
      <c r="I28">
        <v>3</v>
      </c>
      <c r="J28">
        <v>3</v>
      </c>
      <c r="K28">
        <v>0</v>
      </c>
      <c r="L28">
        <f t="shared" si="0"/>
        <v>3</v>
      </c>
      <c r="M28">
        <f t="shared" si="1"/>
        <v>1</v>
      </c>
      <c r="N28">
        <v>3</v>
      </c>
      <c r="P28" s="2" t="s">
        <v>58</v>
      </c>
      <c r="Q28" s="4" t="s">
        <v>293</v>
      </c>
      <c r="R28" s="2"/>
    </row>
    <row r="29" spans="1:19" x14ac:dyDescent="0.2">
      <c r="A29" s="24">
        <v>30</v>
      </c>
      <c r="B29" s="24" t="s">
        <v>84</v>
      </c>
      <c r="C29">
        <v>43.647714999999998</v>
      </c>
      <c r="D29">
        <v>-72.317936000000003</v>
      </c>
      <c r="E29" t="s">
        <v>361</v>
      </c>
      <c r="F29" t="s">
        <v>367</v>
      </c>
      <c r="G29" t="s">
        <v>22</v>
      </c>
      <c r="H29" s="1">
        <v>44023</v>
      </c>
      <c r="I29">
        <v>3</v>
      </c>
      <c r="J29">
        <v>2</v>
      </c>
      <c r="K29">
        <v>0</v>
      </c>
      <c r="L29">
        <f t="shared" si="0"/>
        <v>2</v>
      </c>
      <c r="M29">
        <f t="shared" si="1"/>
        <v>1</v>
      </c>
      <c r="N29">
        <v>2</v>
      </c>
      <c r="P29" s="2" t="s">
        <v>58</v>
      </c>
      <c r="Q29" s="4" t="s">
        <v>293</v>
      </c>
      <c r="R29" s="2"/>
    </row>
    <row r="30" spans="1:19" x14ac:dyDescent="0.2">
      <c r="A30" s="24">
        <v>31</v>
      </c>
      <c r="B30" s="24" t="s">
        <v>85</v>
      </c>
      <c r="C30">
        <v>43.649444440000003</v>
      </c>
      <c r="D30">
        <v>-70.284916670000001</v>
      </c>
      <c r="E30" t="s">
        <v>361</v>
      </c>
      <c r="F30" t="s">
        <v>367</v>
      </c>
      <c r="G30" t="s">
        <v>314</v>
      </c>
      <c r="H30" s="1">
        <v>44023</v>
      </c>
      <c r="I30">
        <v>3</v>
      </c>
      <c r="J30">
        <v>3</v>
      </c>
      <c r="K30">
        <v>0</v>
      </c>
      <c r="L30">
        <f t="shared" si="0"/>
        <v>3</v>
      </c>
      <c r="M30">
        <f t="shared" si="1"/>
        <v>1</v>
      </c>
      <c r="N30">
        <v>3</v>
      </c>
      <c r="P30" s="2" t="s">
        <v>58</v>
      </c>
      <c r="Q30" s="4" t="s">
        <v>293</v>
      </c>
      <c r="R30" s="2"/>
    </row>
    <row r="31" spans="1:19" x14ac:dyDescent="0.2">
      <c r="A31" s="24">
        <v>32</v>
      </c>
      <c r="B31" s="24" t="s">
        <v>86</v>
      </c>
      <c r="C31">
        <v>53.517283999999997</v>
      </c>
      <c r="D31">
        <v>-113.49419899999999</v>
      </c>
      <c r="E31" t="s">
        <v>362</v>
      </c>
      <c r="F31" t="s">
        <v>367</v>
      </c>
      <c r="G31" t="s">
        <v>315</v>
      </c>
      <c r="H31" s="1">
        <v>44022</v>
      </c>
      <c r="I31">
        <v>3</v>
      </c>
      <c r="J31">
        <v>3</v>
      </c>
      <c r="K31">
        <v>0</v>
      </c>
      <c r="L31">
        <f t="shared" si="0"/>
        <v>3</v>
      </c>
      <c r="M31">
        <f t="shared" si="1"/>
        <v>1</v>
      </c>
      <c r="N31">
        <v>3</v>
      </c>
      <c r="P31" s="2" t="s">
        <v>58</v>
      </c>
      <c r="Q31" s="4" t="s">
        <v>293</v>
      </c>
      <c r="R31" s="2"/>
    </row>
    <row r="32" spans="1:19" x14ac:dyDescent="0.2">
      <c r="A32" s="24">
        <v>33</v>
      </c>
      <c r="B32" s="24" t="s">
        <v>87</v>
      </c>
      <c r="C32">
        <v>41.539096000000001</v>
      </c>
      <c r="D32">
        <v>-82.861797999999993</v>
      </c>
      <c r="E32" t="s">
        <v>361</v>
      </c>
      <c r="F32" t="s">
        <v>367</v>
      </c>
      <c r="G32" t="s">
        <v>316</v>
      </c>
      <c r="I32">
        <v>3</v>
      </c>
      <c r="J32">
        <v>3</v>
      </c>
      <c r="K32">
        <v>2</v>
      </c>
      <c r="L32">
        <f t="shared" si="0"/>
        <v>1</v>
      </c>
      <c r="M32">
        <f t="shared" si="1"/>
        <v>0.33333333333333331</v>
      </c>
      <c r="N32">
        <v>2</v>
      </c>
      <c r="O32">
        <v>1</v>
      </c>
      <c r="P32" s="2" t="s">
        <v>58</v>
      </c>
      <c r="Q32" s="4" t="s">
        <v>293</v>
      </c>
      <c r="R32" s="2"/>
    </row>
    <row r="33" spans="1:19" x14ac:dyDescent="0.2">
      <c r="A33" s="24">
        <v>34</v>
      </c>
      <c r="B33" s="24" t="s">
        <v>88</v>
      </c>
      <c r="C33">
        <v>43.837837999999998</v>
      </c>
      <c r="D33">
        <v>-79.305063000000004</v>
      </c>
      <c r="E33" t="s">
        <v>361</v>
      </c>
      <c r="F33" t="s">
        <v>367</v>
      </c>
      <c r="G33" t="s">
        <v>317</v>
      </c>
      <c r="I33">
        <v>3</v>
      </c>
      <c r="J33">
        <v>1</v>
      </c>
      <c r="K33">
        <v>0</v>
      </c>
      <c r="L33">
        <f t="shared" si="0"/>
        <v>1</v>
      </c>
      <c r="M33">
        <f t="shared" si="1"/>
        <v>1</v>
      </c>
      <c r="N33">
        <v>1</v>
      </c>
      <c r="P33" s="2" t="s">
        <v>60</v>
      </c>
      <c r="Q33" s="4" t="s">
        <v>9</v>
      </c>
      <c r="R33" s="2">
        <v>1</v>
      </c>
      <c r="S33" t="s">
        <v>68</v>
      </c>
    </row>
    <row r="34" spans="1:19" x14ac:dyDescent="0.2">
      <c r="A34" s="24">
        <v>35</v>
      </c>
      <c r="B34" s="24" t="s">
        <v>89</v>
      </c>
      <c r="C34">
        <v>43.826132999999999</v>
      </c>
      <c r="D34">
        <v>-79.318091999999993</v>
      </c>
      <c r="E34" t="s">
        <v>361</v>
      </c>
      <c r="F34" t="s">
        <v>367</v>
      </c>
      <c r="G34" t="s">
        <v>317</v>
      </c>
      <c r="I34">
        <v>3</v>
      </c>
      <c r="J34">
        <v>3</v>
      </c>
      <c r="K34">
        <v>3</v>
      </c>
      <c r="L34">
        <f t="shared" si="0"/>
        <v>0</v>
      </c>
      <c r="M34">
        <f t="shared" si="1"/>
        <v>0</v>
      </c>
      <c r="N34">
        <v>0</v>
      </c>
      <c r="P34" s="2" t="s">
        <v>58</v>
      </c>
      <c r="Q34" s="4" t="s">
        <v>293</v>
      </c>
      <c r="R34" s="2"/>
    </row>
    <row r="35" spans="1:19" x14ac:dyDescent="0.2">
      <c r="A35" s="24">
        <v>36</v>
      </c>
      <c r="B35" s="24" t="s">
        <v>90</v>
      </c>
      <c r="C35">
        <v>38.542257999999997</v>
      </c>
      <c r="D35">
        <v>-77.963525000000004</v>
      </c>
      <c r="E35" t="s">
        <v>361</v>
      </c>
      <c r="F35" t="s">
        <v>367</v>
      </c>
      <c r="G35" t="s">
        <v>318</v>
      </c>
      <c r="H35" s="1">
        <v>44003</v>
      </c>
      <c r="I35">
        <v>3</v>
      </c>
      <c r="J35">
        <v>3</v>
      </c>
      <c r="K35">
        <v>0</v>
      </c>
      <c r="L35">
        <f t="shared" si="0"/>
        <v>3</v>
      </c>
      <c r="M35">
        <f t="shared" si="1"/>
        <v>1</v>
      </c>
      <c r="N35" s="2" t="s">
        <v>386</v>
      </c>
      <c r="O35" s="2" t="s">
        <v>386</v>
      </c>
      <c r="P35" s="2" t="s">
        <v>58</v>
      </c>
      <c r="Q35" s="4" t="s">
        <v>293</v>
      </c>
      <c r="R35" s="2"/>
      <c r="S35" t="s">
        <v>384</v>
      </c>
    </row>
    <row r="36" spans="1:19" x14ac:dyDescent="0.2">
      <c r="A36" s="24">
        <v>37</v>
      </c>
      <c r="B36" s="24" t="s">
        <v>91</v>
      </c>
      <c r="C36">
        <v>32.867866999999997</v>
      </c>
      <c r="D36">
        <v>-116.46128</v>
      </c>
      <c r="E36" t="s">
        <v>360</v>
      </c>
      <c r="F36" t="s">
        <v>367</v>
      </c>
      <c r="G36" t="s">
        <v>319</v>
      </c>
      <c r="H36" s="1">
        <v>44009</v>
      </c>
      <c r="I36">
        <v>3</v>
      </c>
      <c r="J36">
        <v>3</v>
      </c>
      <c r="K36">
        <v>0</v>
      </c>
      <c r="L36">
        <f t="shared" si="0"/>
        <v>3</v>
      </c>
      <c r="M36">
        <f t="shared" si="1"/>
        <v>1</v>
      </c>
      <c r="N36">
        <v>3</v>
      </c>
      <c r="P36" s="2" t="s">
        <v>58</v>
      </c>
      <c r="Q36" s="4" t="s">
        <v>293</v>
      </c>
      <c r="R36" s="2"/>
    </row>
    <row r="37" spans="1:19" x14ac:dyDescent="0.2">
      <c r="A37" s="24">
        <v>38</v>
      </c>
      <c r="B37" s="24" t="s">
        <v>92</v>
      </c>
      <c r="C37">
        <v>41.077469999999998</v>
      </c>
      <c r="D37">
        <v>-71.936310000000006</v>
      </c>
      <c r="E37" t="s">
        <v>361</v>
      </c>
      <c r="F37" t="s">
        <v>367</v>
      </c>
      <c r="G37" t="s">
        <v>320</v>
      </c>
      <c r="I37">
        <v>3</v>
      </c>
      <c r="J37">
        <v>3</v>
      </c>
      <c r="K37">
        <v>0</v>
      </c>
      <c r="L37">
        <f t="shared" si="0"/>
        <v>3</v>
      </c>
      <c r="M37">
        <f t="shared" si="1"/>
        <v>1</v>
      </c>
      <c r="N37">
        <v>3</v>
      </c>
      <c r="P37" s="2" t="s">
        <v>58</v>
      </c>
      <c r="Q37" s="4" t="s">
        <v>293</v>
      </c>
      <c r="R37" s="2"/>
    </row>
    <row r="38" spans="1:19" x14ac:dyDescent="0.2">
      <c r="A38" s="24">
        <v>39</v>
      </c>
      <c r="B38" s="24" t="s">
        <v>93</v>
      </c>
      <c r="C38">
        <v>49.739722</v>
      </c>
      <c r="D38">
        <v>-124.924412</v>
      </c>
      <c r="E38" t="s">
        <v>362</v>
      </c>
      <c r="F38" t="s">
        <v>367</v>
      </c>
      <c r="G38" t="s">
        <v>321</v>
      </c>
      <c r="H38" s="1">
        <v>44021</v>
      </c>
      <c r="I38">
        <v>3</v>
      </c>
      <c r="J38">
        <v>2</v>
      </c>
      <c r="K38">
        <v>0</v>
      </c>
      <c r="L38">
        <f t="shared" si="0"/>
        <v>2</v>
      </c>
      <c r="M38">
        <f t="shared" si="1"/>
        <v>1</v>
      </c>
      <c r="N38">
        <v>2</v>
      </c>
      <c r="P38" s="2" t="s">
        <v>60</v>
      </c>
      <c r="Q38" s="4" t="s">
        <v>9</v>
      </c>
      <c r="R38" s="2"/>
      <c r="S38" t="s">
        <v>68</v>
      </c>
    </row>
    <row r="39" spans="1:19" x14ac:dyDescent="0.2">
      <c r="A39" s="24">
        <v>40</v>
      </c>
      <c r="B39" s="24" t="s">
        <v>94</v>
      </c>
      <c r="C39">
        <v>48.68</v>
      </c>
      <c r="D39">
        <v>-122.795</v>
      </c>
      <c r="E39" t="s">
        <v>362</v>
      </c>
      <c r="F39" t="s">
        <v>367</v>
      </c>
      <c r="G39" t="s">
        <v>322</v>
      </c>
      <c r="H39" s="1">
        <v>44042</v>
      </c>
      <c r="I39">
        <v>3</v>
      </c>
      <c r="J39">
        <v>3</v>
      </c>
      <c r="K39">
        <v>0</v>
      </c>
      <c r="L39">
        <f t="shared" si="0"/>
        <v>3</v>
      </c>
      <c r="M39">
        <f t="shared" si="1"/>
        <v>1</v>
      </c>
      <c r="N39">
        <v>3</v>
      </c>
      <c r="P39" s="2" t="s">
        <v>58</v>
      </c>
      <c r="Q39" s="4" t="s">
        <v>293</v>
      </c>
      <c r="R39" s="2"/>
    </row>
    <row r="40" spans="1:19" x14ac:dyDescent="0.2">
      <c r="A40" s="24">
        <v>41</v>
      </c>
      <c r="B40" s="24" t="s">
        <v>95</v>
      </c>
      <c r="C40">
        <v>44.1</v>
      </c>
      <c r="D40">
        <v>-88.63</v>
      </c>
      <c r="E40" t="s">
        <v>361</v>
      </c>
      <c r="F40" t="s">
        <v>367</v>
      </c>
      <c r="G40" t="s">
        <v>323</v>
      </c>
      <c r="I40">
        <v>3</v>
      </c>
      <c r="J40">
        <v>3</v>
      </c>
      <c r="K40">
        <v>0</v>
      </c>
      <c r="L40">
        <f t="shared" si="0"/>
        <v>3</v>
      </c>
      <c r="M40">
        <f t="shared" si="1"/>
        <v>1</v>
      </c>
      <c r="N40">
        <v>3</v>
      </c>
      <c r="P40" s="2" t="s">
        <v>58</v>
      </c>
      <c r="Q40" s="4" t="s">
        <v>293</v>
      </c>
      <c r="R40" s="2"/>
    </row>
    <row r="41" spans="1:19" x14ac:dyDescent="0.2">
      <c r="A41" s="24">
        <v>42</v>
      </c>
      <c r="B41" s="24" t="s">
        <v>96</v>
      </c>
      <c r="C41">
        <v>48.750956000000002</v>
      </c>
      <c r="D41">
        <v>-122.89384</v>
      </c>
      <c r="E41" t="s">
        <v>362</v>
      </c>
      <c r="F41" t="s">
        <v>367</v>
      </c>
      <c r="G41" t="s">
        <v>322</v>
      </c>
      <c r="H41" s="1">
        <v>44010</v>
      </c>
      <c r="I41">
        <v>3</v>
      </c>
      <c r="J41">
        <v>2</v>
      </c>
      <c r="K41">
        <v>0</v>
      </c>
      <c r="L41">
        <f t="shared" si="0"/>
        <v>2</v>
      </c>
      <c r="M41">
        <f t="shared" si="1"/>
        <v>1</v>
      </c>
      <c r="N41">
        <v>2</v>
      </c>
      <c r="P41" s="2" t="s">
        <v>60</v>
      </c>
      <c r="Q41" s="4" t="s">
        <v>9</v>
      </c>
      <c r="R41" s="2"/>
      <c r="S41" t="s">
        <v>68</v>
      </c>
    </row>
    <row r="42" spans="1:19" x14ac:dyDescent="0.2">
      <c r="A42" s="24">
        <v>43</v>
      </c>
      <c r="B42" s="24" t="s">
        <v>97</v>
      </c>
      <c r="C42">
        <v>44.396572999999997</v>
      </c>
      <c r="D42">
        <v>-123.32182899999999</v>
      </c>
      <c r="E42" t="s">
        <v>362</v>
      </c>
      <c r="F42" t="s">
        <v>367</v>
      </c>
      <c r="G42" t="s">
        <v>324</v>
      </c>
      <c r="H42" s="1">
        <v>44060</v>
      </c>
      <c r="I42">
        <v>3</v>
      </c>
      <c r="J42">
        <v>2</v>
      </c>
      <c r="K42">
        <v>0</v>
      </c>
      <c r="L42">
        <f t="shared" si="0"/>
        <v>2</v>
      </c>
      <c r="M42">
        <f t="shared" si="1"/>
        <v>1</v>
      </c>
      <c r="N42">
        <v>2</v>
      </c>
      <c r="O42">
        <v>0</v>
      </c>
      <c r="P42" s="2" t="s">
        <v>58</v>
      </c>
      <c r="Q42" s="4" t="s">
        <v>293</v>
      </c>
      <c r="R42" s="2"/>
      <c r="S42" t="s">
        <v>387</v>
      </c>
    </row>
    <row r="43" spans="1:19" x14ac:dyDescent="0.2">
      <c r="A43" s="24">
        <v>44</v>
      </c>
      <c r="B43" s="24" t="s">
        <v>98</v>
      </c>
      <c r="C43">
        <v>34.774768000000002</v>
      </c>
      <c r="D43">
        <v>-118.96919200000001</v>
      </c>
      <c r="E43" t="s">
        <v>360</v>
      </c>
      <c r="F43" t="s">
        <v>367</v>
      </c>
      <c r="G43" t="s">
        <v>325</v>
      </c>
      <c r="H43" s="1">
        <v>44024</v>
      </c>
      <c r="I43">
        <v>3</v>
      </c>
      <c r="J43">
        <v>3</v>
      </c>
      <c r="K43">
        <v>1</v>
      </c>
      <c r="L43">
        <f t="shared" si="0"/>
        <v>2</v>
      </c>
      <c r="M43">
        <f t="shared" si="1"/>
        <v>0.66666666666666663</v>
      </c>
      <c r="N43">
        <v>3</v>
      </c>
      <c r="O43">
        <v>2</v>
      </c>
      <c r="P43" s="2" t="s">
        <v>58</v>
      </c>
      <c r="Q43" s="4" t="s">
        <v>293</v>
      </c>
      <c r="R43" s="2">
        <v>2</v>
      </c>
    </row>
    <row r="44" spans="1:19" x14ac:dyDescent="0.2">
      <c r="A44" s="24">
        <v>45</v>
      </c>
      <c r="B44" s="24" t="s">
        <v>99</v>
      </c>
      <c r="C44">
        <v>46.911349999999999</v>
      </c>
      <c r="D44">
        <v>-122.85905</v>
      </c>
      <c r="E44" t="s">
        <v>362</v>
      </c>
      <c r="F44" t="s">
        <v>367</v>
      </c>
      <c r="G44" t="s">
        <v>326</v>
      </c>
      <c r="H44" s="1">
        <v>44057</v>
      </c>
      <c r="I44">
        <v>3</v>
      </c>
      <c r="J44">
        <v>2</v>
      </c>
      <c r="K44">
        <v>1</v>
      </c>
      <c r="L44">
        <f t="shared" si="0"/>
        <v>1</v>
      </c>
      <c r="M44">
        <f t="shared" si="1"/>
        <v>0.5</v>
      </c>
      <c r="N44">
        <v>1</v>
      </c>
      <c r="P44" s="2" t="s">
        <v>58</v>
      </c>
      <c r="Q44" s="4" t="s">
        <v>293</v>
      </c>
      <c r="R44" s="2"/>
    </row>
    <row r="45" spans="1:19" x14ac:dyDescent="0.2">
      <c r="A45" s="24">
        <v>46</v>
      </c>
      <c r="B45" s="24" t="s">
        <v>100</v>
      </c>
      <c r="C45">
        <v>42.640529000000001</v>
      </c>
      <c r="D45">
        <v>-84.503669000000002</v>
      </c>
      <c r="E45" t="s">
        <v>361</v>
      </c>
      <c r="F45" t="s">
        <v>367</v>
      </c>
      <c r="G45" t="s">
        <v>327</v>
      </c>
      <c r="H45" s="1">
        <v>44017</v>
      </c>
      <c r="I45">
        <v>3</v>
      </c>
      <c r="J45">
        <v>3</v>
      </c>
      <c r="K45">
        <v>0</v>
      </c>
      <c r="L45">
        <f t="shared" si="0"/>
        <v>3</v>
      </c>
      <c r="M45">
        <f t="shared" si="1"/>
        <v>1</v>
      </c>
      <c r="N45">
        <v>3</v>
      </c>
      <c r="P45" s="2" t="s">
        <v>58</v>
      </c>
      <c r="Q45" s="4" t="s">
        <v>293</v>
      </c>
      <c r="R45" s="2"/>
    </row>
    <row r="46" spans="1:19" x14ac:dyDescent="0.2">
      <c r="A46" s="24">
        <v>47</v>
      </c>
      <c r="B46" s="24" t="s">
        <v>101</v>
      </c>
      <c r="C46">
        <v>42.025824</v>
      </c>
      <c r="D46">
        <v>-82.737030000000004</v>
      </c>
      <c r="E46" t="s">
        <v>361</v>
      </c>
      <c r="F46" t="s">
        <v>367</v>
      </c>
      <c r="G46" t="s">
        <v>328</v>
      </c>
      <c r="H46" s="1">
        <v>44004</v>
      </c>
      <c r="I46">
        <v>3</v>
      </c>
      <c r="J46">
        <v>2</v>
      </c>
      <c r="K46">
        <v>0</v>
      </c>
      <c r="L46">
        <f t="shared" si="0"/>
        <v>2</v>
      </c>
      <c r="M46">
        <f t="shared" si="1"/>
        <v>1</v>
      </c>
      <c r="N46">
        <v>2</v>
      </c>
      <c r="P46" s="2" t="s">
        <v>60</v>
      </c>
      <c r="Q46" s="4" t="s">
        <v>9</v>
      </c>
      <c r="R46" s="2">
        <v>1</v>
      </c>
      <c r="S46" t="s">
        <v>68</v>
      </c>
    </row>
    <row r="47" spans="1:19" x14ac:dyDescent="0.2">
      <c r="A47" s="24">
        <v>48</v>
      </c>
      <c r="B47" s="24" t="s">
        <v>102</v>
      </c>
      <c r="C47">
        <v>43.552568999999998</v>
      </c>
      <c r="D47">
        <v>-79.780876000000006</v>
      </c>
      <c r="E47" t="s">
        <v>361</v>
      </c>
      <c r="F47" t="s">
        <v>367</v>
      </c>
      <c r="G47" t="s">
        <v>328</v>
      </c>
      <c r="H47" s="1">
        <v>44033</v>
      </c>
      <c r="I47">
        <v>3</v>
      </c>
      <c r="J47">
        <v>2</v>
      </c>
      <c r="K47">
        <v>0</v>
      </c>
      <c r="L47">
        <f t="shared" si="0"/>
        <v>2</v>
      </c>
      <c r="M47">
        <f t="shared" si="1"/>
        <v>1</v>
      </c>
      <c r="N47">
        <v>2</v>
      </c>
      <c r="P47" s="2" t="s">
        <v>60</v>
      </c>
      <c r="Q47" s="4" t="s">
        <v>9</v>
      </c>
      <c r="R47" s="2"/>
      <c r="S47" t="s">
        <v>68</v>
      </c>
    </row>
    <row r="48" spans="1:19" x14ac:dyDescent="0.2">
      <c r="A48" s="24">
        <v>49</v>
      </c>
      <c r="B48" s="24" t="s">
        <v>103</v>
      </c>
      <c r="C48">
        <v>43.132643999999999</v>
      </c>
      <c r="D48">
        <v>-79.797889999999995</v>
      </c>
      <c r="E48" t="s">
        <v>361</v>
      </c>
      <c r="F48" t="s">
        <v>367</v>
      </c>
      <c r="G48" t="s">
        <v>328</v>
      </c>
      <c r="H48" s="1">
        <v>44070</v>
      </c>
      <c r="I48">
        <v>3</v>
      </c>
      <c r="J48">
        <v>1</v>
      </c>
      <c r="K48">
        <v>0</v>
      </c>
      <c r="L48">
        <f t="shared" si="0"/>
        <v>1</v>
      </c>
      <c r="M48">
        <f t="shared" si="1"/>
        <v>1</v>
      </c>
      <c r="N48">
        <v>1</v>
      </c>
      <c r="P48" s="2" t="s">
        <v>58</v>
      </c>
      <c r="Q48" s="4" t="s">
        <v>9</v>
      </c>
      <c r="R48" s="2">
        <v>3</v>
      </c>
    </row>
    <row r="49" spans="1:19" x14ac:dyDescent="0.2">
      <c r="A49" s="24">
        <v>50</v>
      </c>
      <c r="B49" s="24" t="s">
        <v>104</v>
      </c>
      <c r="C49">
        <v>59.855162200000002</v>
      </c>
      <c r="D49">
        <v>17.651915299999999</v>
      </c>
      <c r="E49" t="s">
        <v>363</v>
      </c>
      <c r="F49" t="s">
        <v>368</v>
      </c>
      <c r="G49" t="s">
        <v>329</v>
      </c>
      <c r="H49" s="1"/>
      <c r="I49">
        <v>3</v>
      </c>
      <c r="J49">
        <v>3</v>
      </c>
      <c r="K49">
        <v>0</v>
      </c>
      <c r="L49">
        <f t="shared" si="0"/>
        <v>3</v>
      </c>
      <c r="M49">
        <f t="shared" si="1"/>
        <v>1</v>
      </c>
      <c r="N49">
        <v>3</v>
      </c>
      <c r="P49" s="2" t="s">
        <v>58</v>
      </c>
      <c r="Q49" s="4" t="s">
        <v>293</v>
      </c>
      <c r="R49" s="2"/>
    </row>
    <row r="50" spans="1:19" x14ac:dyDescent="0.2">
      <c r="A50" s="24">
        <v>51</v>
      </c>
      <c r="B50" s="24" t="s">
        <v>105</v>
      </c>
      <c r="C50">
        <v>59.848567500000001</v>
      </c>
      <c r="D50">
        <v>17.700063</v>
      </c>
      <c r="E50" t="s">
        <v>363</v>
      </c>
      <c r="F50" t="s">
        <v>368</v>
      </c>
      <c r="G50" t="s">
        <v>330</v>
      </c>
      <c r="H50" s="1">
        <v>44044</v>
      </c>
      <c r="I50">
        <v>1</v>
      </c>
      <c r="J50">
        <v>1</v>
      </c>
      <c r="K50">
        <v>0</v>
      </c>
      <c r="L50">
        <f t="shared" si="0"/>
        <v>1</v>
      </c>
      <c r="M50">
        <f t="shared" si="1"/>
        <v>1</v>
      </c>
      <c r="N50">
        <v>0</v>
      </c>
      <c r="O50">
        <v>0</v>
      </c>
      <c r="P50" s="2" t="s">
        <v>60</v>
      </c>
      <c r="Q50" s="4" t="s">
        <v>9</v>
      </c>
      <c r="R50" s="2"/>
      <c r="S50" t="s">
        <v>68</v>
      </c>
    </row>
    <row r="51" spans="1:19" x14ac:dyDescent="0.2">
      <c r="A51" s="24">
        <v>52</v>
      </c>
      <c r="B51" s="24" t="s">
        <v>106</v>
      </c>
      <c r="C51">
        <v>40.888295999999997</v>
      </c>
      <c r="D51">
        <v>-3.583885</v>
      </c>
      <c r="E51" t="s">
        <v>364</v>
      </c>
      <c r="F51" t="s">
        <v>368</v>
      </c>
      <c r="G51" t="s">
        <v>331</v>
      </c>
      <c r="H51" s="1">
        <v>44013</v>
      </c>
      <c r="I51">
        <v>1</v>
      </c>
      <c r="J51">
        <v>1</v>
      </c>
      <c r="K51">
        <v>0</v>
      </c>
      <c r="L51">
        <f t="shared" si="0"/>
        <v>1</v>
      </c>
      <c r="M51">
        <f t="shared" si="1"/>
        <v>1</v>
      </c>
      <c r="N51">
        <v>1</v>
      </c>
      <c r="P51" s="2" t="s">
        <v>60</v>
      </c>
      <c r="Q51" s="4" t="s">
        <v>9</v>
      </c>
      <c r="R51" s="2"/>
      <c r="S51" t="s">
        <v>68</v>
      </c>
    </row>
    <row r="52" spans="1:19" x14ac:dyDescent="0.2">
      <c r="A52" s="24">
        <v>53</v>
      </c>
      <c r="B52" s="24" t="s">
        <v>107</v>
      </c>
      <c r="C52">
        <v>-41.612146000000003</v>
      </c>
      <c r="D52">
        <v>-71.116076000000007</v>
      </c>
      <c r="E52" t="s">
        <v>365</v>
      </c>
      <c r="F52" t="s">
        <v>367</v>
      </c>
      <c r="G52" t="s">
        <v>332</v>
      </c>
      <c r="H52" s="1">
        <v>43822</v>
      </c>
      <c r="I52">
        <v>3</v>
      </c>
      <c r="J52">
        <v>3</v>
      </c>
      <c r="K52">
        <v>0</v>
      </c>
      <c r="L52">
        <f t="shared" si="0"/>
        <v>3</v>
      </c>
      <c r="M52">
        <f t="shared" si="1"/>
        <v>1</v>
      </c>
      <c r="N52">
        <v>3</v>
      </c>
      <c r="P52" s="2" t="s">
        <v>58</v>
      </c>
      <c r="Q52" s="4" t="s">
        <v>293</v>
      </c>
      <c r="R52" s="2"/>
    </row>
    <row r="53" spans="1:19" x14ac:dyDescent="0.2">
      <c r="A53" s="24">
        <v>54</v>
      </c>
      <c r="B53" s="24" t="s">
        <v>108</v>
      </c>
      <c r="C53">
        <v>-41.058101999999998</v>
      </c>
      <c r="D53">
        <v>-70.514649000000006</v>
      </c>
      <c r="E53" t="s">
        <v>365</v>
      </c>
      <c r="F53" t="s">
        <v>367</v>
      </c>
      <c r="G53" t="s">
        <v>332</v>
      </c>
      <c r="I53">
        <v>3</v>
      </c>
      <c r="J53">
        <v>3</v>
      </c>
      <c r="K53">
        <v>0</v>
      </c>
      <c r="L53">
        <f t="shared" si="0"/>
        <v>3</v>
      </c>
      <c r="M53">
        <f t="shared" si="1"/>
        <v>1</v>
      </c>
      <c r="N53">
        <v>3</v>
      </c>
      <c r="P53" s="2" t="s">
        <v>58</v>
      </c>
      <c r="Q53" s="4" t="s">
        <v>293</v>
      </c>
    </row>
    <row r="54" spans="1:19" x14ac:dyDescent="0.2">
      <c r="A54" s="24">
        <v>55</v>
      </c>
      <c r="B54" s="24" t="s">
        <v>109</v>
      </c>
      <c r="C54">
        <v>46.976942999999999</v>
      </c>
      <c r="D54">
        <v>-92.196292999999997</v>
      </c>
      <c r="E54" t="s">
        <v>362</v>
      </c>
      <c r="F54" t="s">
        <v>367</v>
      </c>
      <c r="G54" t="s">
        <v>333</v>
      </c>
      <c r="I54">
        <v>3</v>
      </c>
      <c r="J54">
        <v>3</v>
      </c>
      <c r="K54">
        <v>0</v>
      </c>
      <c r="L54">
        <f t="shared" si="0"/>
        <v>3</v>
      </c>
      <c r="M54">
        <f t="shared" si="1"/>
        <v>1</v>
      </c>
      <c r="N54">
        <v>3</v>
      </c>
      <c r="P54" s="2" t="s">
        <v>58</v>
      </c>
      <c r="Q54" s="4" t="s">
        <v>293</v>
      </c>
      <c r="R54" s="2"/>
    </row>
    <row r="55" spans="1:19" x14ac:dyDescent="0.2">
      <c r="A55" s="24">
        <v>56</v>
      </c>
      <c r="B55" s="24" t="s">
        <v>110</v>
      </c>
      <c r="C55">
        <v>44.526111</v>
      </c>
      <c r="D55">
        <v>-89.571111000000002</v>
      </c>
      <c r="E55" t="s">
        <v>361</v>
      </c>
      <c r="F55" t="s">
        <v>367</v>
      </c>
      <c r="G55" t="s">
        <v>333</v>
      </c>
      <c r="I55">
        <v>3</v>
      </c>
      <c r="J55">
        <v>3</v>
      </c>
      <c r="K55">
        <v>1</v>
      </c>
      <c r="L55">
        <f t="shared" si="0"/>
        <v>2</v>
      </c>
      <c r="M55">
        <f t="shared" si="1"/>
        <v>0.66666666666666663</v>
      </c>
      <c r="N55">
        <v>2</v>
      </c>
      <c r="P55" s="2" t="s">
        <v>58</v>
      </c>
      <c r="Q55" s="4" t="s">
        <v>293</v>
      </c>
      <c r="R55" s="2"/>
    </row>
    <row r="56" spans="1:19" x14ac:dyDescent="0.2">
      <c r="A56" s="24">
        <v>57</v>
      </c>
      <c r="B56" s="24" t="s">
        <v>111</v>
      </c>
      <c r="C56">
        <v>42.835000000000001</v>
      </c>
      <c r="D56">
        <v>-89.072221999999996</v>
      </c>
      <c r="E56" t="s">
        <v>361</v>
      </c>
      <c r="F56" t="s">
        <v>367</v>
      </c>
      <c r="G56" t="s">
        <v>333</v>
      </c>
      <c r="I56">
        <v>3</v>
      </c>
      <c r="J56">
        <v>3</v>
      </c>
      <c r="K56">
        <v>0</v>
      </c>
      <c r="L56">
        <f t="shared" si="0"/>
        <v>3</v>
      </c>
      <c r="M56">
        <f t="shared" si="1"/>
        <v>1</v>
      </c>
      <c r="N56">
        <v>3</v>
      </c>
      <c r="P56" s="2" t="s">
        <v>58</v>
      </c>
      <c r="Q56" s="4" t="s">
        <v>9</v>
      </c>
      <c r="R56" s="2"/>
    </row>
    <row r="57" spans="1:19" x14ac:dyDescent="0.2">
      <c r="A57" s="24">
        <v>58</v>
      </c>
      <c r="B57" s="24" t="s">
        <v>112</v>
      </c>
      <c r="C57">
        <v>41.744444000000001</v>
      </c>
      <c r="D57">
        <v>-85.33</v>
      </c>
      <c r="E57" t="s">
        <v>361</v>
      </c>
      <c r="F57" t="s">
        <v>367</v>
      </c>
      <c r="G57" t="s">
        <v>333</v>
      </c>
      <c r="I57">
        <v>3</v>
      </c>
      <c r="J57">
        <v>3</v>
      </c>
      <c r="K57">
        <v>0</v>
      </c>
      <c r="L57">
        <f t="shared" si="0"/>
        <v>3</v>
      </c>
      <c r="M57">
        <f t="shared" si="1"/>
        <v>1</v>
      </c>
      <c r="N57">
        <v>2</v>
      </c>
      <c r="P57" s="2" t="s">
        <v>58</v>
      </c>
      <c r="Q57" s="4" t="s">
        <v>9</v>
      </c>
      <c r="R57" s="2"/>
    </row>
    <row r="58" spans="1:19" x14ac:dyDescent="0.2">
      <c r="A58" s="24">
        <v>59</v>
      </c>
      <c r="B58" s="24" t="s">
        <v>113</v>
      </c>
      <c r="C58">
        <v>41.573332999999998</v>
      </c>
      <c r="D58">
        <v>-85.812222000000006</v>
      </c>
      <c r="E58" t="s">
        <v>361</v>
      </c>
      <c r="F58" t="s">
        <v>367</v>
      </c>
      <c r="G58" t="s">
        <v>333</v>
      </c>
      <c r="I58">
        <v>3</v>
      </c>
      <c r="J58">
        <v>3</v>
      </c>
      <c r="K58">
        <v>0</v>
      </c>
      <c r="L58">
        <f t="shared" si="0"/>
        <v>3</v>
      </c>
      <c r="M58">
        <f t="shared" si="1"/>
        <v>1</v>
      </c>
      <c r="N58">
        <v>3</v>
      </c>
      <c r="P58" s="2" t="s">
        <v>58</v>
      </c>
      <c r="Q58" s="4" t="s">
        <v>9</v>
      </c>
      <c r="R58" s="2"/>
    </row>
    <row r="59" spans="1:19" x14ac:dyDescent="0.2">
      <c r="A59" s="24">
        <v>60</v>
      </c>
      <c r="B59" s="24" t="s">
        <v>114</v>
      </c>
      <c r="C59">
        <v>41.457777999999998</v>
      </c>
      <c r="D59">
        <v>-82.718333000000001</v>
      </c>
      <c r="E59" t="s">
        <v>361</v>
      </c>
      <c r="F59" t="s">
        <v>367</v>
      </c>
      <c r="G59" t="s">
        <v>333</v>
      </c>
      <c r="I59">
        <v>3</v>
      </c>
      <c r="J59">
        <v>2</v>
      </c>
      <c r="K59">
        <v>0</v>
      </c>
      <c r="L59">
        <f t="shared" si="0"/>
        <v>2</v>
      </c>
      <c r="M59">
        <f t="shared" si="1"/>
        <v>1</v>
      </c>
      <c r="N59">
        <v>2</v>
      </c>
      <c r="P59" s="2" t="s">
        <v>58</v>
      </c>
      <c r="Q59" s="4" t="s">
        <v>9</v>
      </c>
      <c r="R59" s="2"/>
    </row>
    <row r="60" spans="1:19" x14ac:dyDescent="0.2">
      <c r="A60" s="24">
        <v>61</v>
      </c>
      <c r="B60" s="24" t="s">
        <v>115</v>
      </c>
      <c r="C60">
        <v>49.456031690000003</v>
      </c>
      <c r="D60">
        <v>-114.409728</v>
      </c>
      <c r="E60" t="s">
        <v>362</v>
      </c>
      <c r="F60" t="s">
        <v>367</v>
      </c>
      <c r="G60" t="s">
        <v>334</v>
      </c>
      <c r="I60">
        <v>3</v>
      </c>
      <c r="J60">
        <v>3</v>
      </c>
      <c r="K60">
        <v>0</v>
      </c>
      <c r="L60">
        <f t="shared" si="0"/>
        <v>3</v>
      </c>
      <c r="M60">
        <f t="shared" si="1"/>
        <v>1</v>
      </c>
      <c r="N60">
        <v>3</v>
      </c>
      <c r="P60" s="2" t="s">
        <v>58</v>
      </c>
      <c r="Q60" s="4" t="s">
        <v>293</v>
      </c>
      <c r="R60" s="2"/>
    </row>
    <row r="61" spans="1:19" x14ac:dyDescent="0.2">
      <c r="A61" s="24">
        <v>62</v>
      </c>
      <c r="B61" s="24" t="s">
        <v>116</v>
      </c>
      <c r="C61">
        <v>49.582467000000001</v>
      </c>
      <c r="D61">
        <v>-114.2063567</v>
      </c>
      <c r="E61" t="s">
        <v>362</v>
      </c>
      <c r="F61" t="s">
        <v>367</v>
      </c>
      <c r="G61" t="s">
        <v>334</v>
      </c>
      <c r="I61">
        <v>3</v>
      </c>
      <c r="J61">
        <v>3</v>
      </c>
      <c r="K61">
        <v>0</v>
      </c>
      <c r="L61">
        <f t="shared" si="0"/>
        <v>3</v>
      </c>
      <c r="M61">
        <f t="shared" si="1"/>
        <v>1</v>
      </c>
      <c r="N61">
        <v>0</v>
      </c>
      <c r="O61">
        <v>0</v>
      </c>
      <c r="P61" s="2" t="s">
        <v>58</v>
      </c>
      <c r="Q61" s="4" t="s">
        <v>293</v>
      </c>
      <c r="R61" s="2"/>
    </row>
    <row r="62" spans="1:19" x14ac:dyDescent="0.2">
      <c r="A62" s="24">
        <v>63</v>
      </c>
      <c r="B62" s="24" t="s">
        <v>117</v>
      </c>
      <c r="C62">
        <v>50.897413</v>
      </c>
      <c r="D62">
        <v>-111.94898329999999</v>
      </c>
      <c r="E62" t="s">
        <v>362</v>
      </c>
      <c r="F62" t="s">
        <v>367</v>
      </c>
      <c r="G62" t="s">
        <v>334</v>
      </c>
      <c r="I62">
        <v>3</v>
      </c>
      <c r="J62">
        <v>3</v>
      </c>
      <c r="K62">
        <v>0</v>
      </c>
      <c r="L62">
        <f t="shared" si="0"/>
        <v>3</v>
      </c>
      <c r="M62">
        <f t="shared" si="1"/>
        <v>1</v>
      </c>
      <c r="N62">
        <v>3</v>
      </c>
      <c r="P62" s="2" t="s">
        <v>58</v>
      </c>
      <c r="Q62" s="4" t="s">
        <v>293</v>
      </c>
      <c r="R62" s="2"/>
    </row>
    <row r="63" spans="1:19" x14ac:dyDescent="0.2">
      <c r="A63" s="24">
        <v>64</v>
      </c>
      <c r="B63" s="24" t="s">
        <v>118</v>
      </c>
      <c r="C63">
        <v>37.738611110000001</v>
      </c>
      <c r="D63">
        <v>15.112500000000001</v>
      </c>
      <c r="E63" t="s">
        <v>364</v>
      </c>
      <c r="F63" t="s">
        <v>368</v>
      </c>
      <c r="G63" t="s">
        <v>335</v>
      </c>
      <c r="H63" s="1">
        <v>43993</v>
      </c>
      <c r="I63">
        <v>3</v>
      </c>
      <c r="J63">
        <v>3</v>
      </c>
      <c r="K63">
        <v>0</v>
      </c>
      <c r="L63">
        <f t="shared" si="0"/>
        <v>3</v>
      </c>
      <c r="M63">
        <f t="shared" si="1"/>
        <v>1</v>
      </c>
      <c r="N63">
        <v>3</v>
      </c>
      <c r="P63" s="2" t="s">
        <v>58</v>
      </c>
      <c r="Q63" s="4" t="s">
        <v>293</v>
      </c>
      <c r="R63" s="2"/>
    </row>
    <row r="64" spans="1:19" x14ac:dyDescent="0.2">
      <c r="A64" s="24">
        <v>65</v>
      </c>
      <c r="B64" s="24" t="s">
        <v>119</v>
      </c>
      <c r="C64">
        <v>37.751944440000003</v>
      </c>
      <c r="D64">
        <v>15.09444444</v>
      </c>
      <c r="E64" t="s">
        <v>364</v>
      </c>
      <c r="F64" t="s">
        <v>368</v>
      </c>
      <c r="G64" t="s">
        <v>335</v>
      </c>
      <c r="H64" s="1">
        <v>43993</v>
      </c>
      <c r="I64">
        <v>3</v>
      </c>
      <c r="J64">
        <v>3</v>
      </c>
      <c r="K64">
        <v>1</v>
      </c>
      <c r="L64">
        <f t="shared" si="0"/>
        <v>2</v>
      </c>
      <c r="M64">
        <f t="shared" si="1"/>
        <v>0.66666666666666663</v>
      </c>
      <c r="N64">
        <v>2</v>
      </c>
      <c r="P64" s="2" t="s">
        <v>58</v>
      </c>
      <c r="Q64" s="4" t="s">
        <v>293</v>
      </c>
      <c r="R64" s="2"/>
    </row>
    <row r="65" spans="1:19" x14ac:dyDescent="0.2">
      <c r="A65" s="24">
        <v>66</v>
      </c>
      <c r="B65" s="24" t="s">
        <v>120</v>
      </c>
      <c r="C65">
        <v>37.756666670000001</v>
      </c>
      <c r="D65">
        <v>15.08638889</v>
      </c>
      <c r="E65" t="s">
        <v>364</v>
      </c>
      <c r="F65" t="s">
        <v>368</v>
      </c>
      <c r="G65" t="s">
        <v>335</v>
      </c>
      <c r="H65" s="1">
        <v>43993</v>
      </c>
      <c r="I65">
        <v>3</v>
      </c>
      <c r="J65">
        <v>3</v>
      </c>
      <c r="K65">
        <v>0</v>
      </c>
      <c r="L65">
        <f t="shared" si="0"/>
        <v>3</v>
      </c>
      <c r="M65">
        <f t="shared" si="1"/>
        <v>1</v>
      </c>
      <c r="N65">
        <v>3</v>
      </c>
      <c r="P65" s="2" t="s">
        <v>58</v>
      </c>
      <c r="Q65" s="4" t="s">
        <v>293</v>
      </c>
      <c r="R65" s="2"/>
    </row>
    <row r="66" spans="1:19" x14ac:dyDescent="0.2">
      <c r="A66" s="24">
        <v>67</v>
      </c>
      <c r="B66" s="24" t="s">
        <v>121</v>
      </c>
      <c r="C66">
        <v>37.774722220000001</v>
      </c>
      <c r="D66">
        <v>15.088055560000001</v>
      </c>
      <c r="E66" t="s">
        <v>364</v>
      </c>
      <c r="F66" t="s">
        <v>368</v>
      </c>
      <c r="G66" t="s">
        <v>335</v>
      </c>
      <c r="H66" s="1">
        <v>43993</v>
      </c>
      <c r="I66">
        <v>3</v>
      </c>
      <c r="J66">
        <v>3</v>
      </c>
      <c r="K66">
        <v>0</v>
      </c>
      <c r="L66">
        <f t="shared" si="0"/>
        <v>3</v>
      </c>
      <c r="M66">
        <f t="shared" si="1"/>
        <v>1</v>
      </c>
      <c r="N66">
        <v>3</v>
      </c>
      <c r="P66" s="2" t="s">
        <v>58</v>
      </c>
      <c r="Q66" s="4" t="s">
        <v>293</v>
      </c>
      <c r="R66" s="2"/>
    </row>
    <row r="67" spans="1:19" x14ac:dyDescent="0.2">
      <c r="A67" s="24">
        <v>68</v>
      </c>
      <c r="B67" s="24" t="s">
        <v>122</v>
      </c>
      <c r="C67">
        <v>37.874166670000001</v>
      </c>
      <c r="D67">
        <v>14.028333330000001</v>
      </c>
      <c r="E67" t="s">
        <v>364</v>
      </c>
      <c r="F67" t="s">
        <v>368</v>
      </c>
      <c r="G67" t="s">
        <v>335</v>
      </c>
      <c r="H67" s="1">
        <v>43994</v>
      </c>
      <c r="I67">
        <v>3</v>
      </c>
      <c r="J67">
        <v>3</v>
      </c>
      <c r="K67">
        <v>0</v>
      </c>
      <c r="L67">
        <f t="shared" ref="L67:L130" si="2">J67-K67</f>
        <v>3</v>
      </c>
      <c r="M67">
        <f t="shared" ref="M67:M130" si="3">L67/J67</f>
        <v>1</v>
      </c>
      <c r="N67">
        <v>3</v>
      </c>
      <c r="P67" s="2" t="s">
        <v>58</v>
      </c>
      <c r="Q67" s="4" t="s">
        <v>293</v>
      </c>
      <c r="R67" s="2"/>
    </row>
    <row r="68" spans="1:19" x14ac:dyDescent="0.2">
      <c r="A68" s="24">
        <v>69</v>
      </c>
      <c r="B68" s="24" t="s">
        <v>123</v>
      </c>
      <c r="C68">
        <v>42.281388890000002</v>
      </c>
      <c r="D68">
        <v>13.83666667</v>
      </c>
      <c r="E68" t="s">
        <v>364</v>
      </c>
      <c r="F68" t="s">
        <v>368</v>
      </c>
      <c r="G68" t="s">
        <v>335</v>
      </c>
      <c r="H68" s="1">
        <v>44006</v>
      </c>
      <c r="I68">
        <v>3</v>
      </c>
      <c r="J68">
        <v>3</v>
      </c>
      <c r="K68">
        <v>0</v>
      </c>
      <c r="L68">
        <f t="shared" si="2"/>
        <v>3</v>
      </c>
      <c r="M68">
        <f t="shared" si="3"/>
        <v>1</v>
      </c>
      <c r="N68">
        <v>3</v>
      </c>
      <c r="P68" s="2" t="s">
        <v>58</v>
      </c>
      <c r="Q68" s="4" t="s">
        <v>293</v>
      </c>
      <c r="R68" s="2"/>
    </row>
    <row r="69" spans="1:19" x14ac:dyDescent="0.2">
      <c r="A69" s="24">
        <v>70</v>
      </c>
      <c r="B69" s="24" t="s">
        <v>124</v>
      </c>
      <c r="C69">
        <v>39.709166670000002</v>
      </c>
      <c r="D69">
        <v>21.616944440000001</v>
      </c>
      <c r="E69" t="s">
        <v>364</v>
      </c>
      <c r="F69" t="s">
        <v>368</v>
      </c>
      <c r="G69" t="s">
        <v>335</v>
      </c>
      <c r="H69" s="1">
        <v>44035</v>
      </c>
      <c r="I69">
        <v>3</v>
      </c>
      <c r="J69">
        <v>3</v>
      </c>
      <c r="K69">
        <v>0</v>
      </c>
      <c r="L69">
        <f t="shared" si="2"/>
        <v>3</v>
      </c>
      <c r="M69">
        <f t="shared" si="3"/>
        <v>1</v>
      </c>
      <c r="N69">
        <v>3</v>
      </c>
      <c r="P69" s="2" t="s">
        <v>58</v>
      </c>
      <c r="Q69" s="4" t="s">
        <v>293</v>
      </c>
      <c r="R69" s="2"/>
    </row>
    <row r="70" spans="1:19" x14ac:dyDescent="0.2">
      <c r="A70" s="24">
        <v>71</v>
      </c>
      <c r="B70" s="24" t="s">
        <v>125</v>
      </c>
      <c r="C70">
        <v>39.750277779999998</v>
      </c>
      <c r="D70">
        <v>21.660833329999999</v>
      </c>
      <c r="E70" t="s">
        <v>364</v>
      </c>
      <c r="F70" t="s">
        <v>368</v>
      </c>
      <c r="G70" t="s">
        <v>335</v>
      </c>
      <c r="H70" s="1">
        <v>44035</v>
      </c>
      <c r="I70">
        <v>3</v>
      </c>
      <c r="J70">
        <v>3</v>
      </c>
      <c r="K70">
        <v>0</v>
      </c>
      <c r="L70">
        <f t="shared" si="2"/>
        <v>3</v>
      </c>
      <c r="M70">
        <f t="shared" si="3"/>
        <v>1</v>
      </c>
      <c r="N70">
        <v>3</v>
      </c>
      <c r="P70" s="2" t="s">
        <v>58</v>
      </c>
      <c r="Q70" s="4" t="s">
        <v>293</v>
      </c>
      <c r="R70" s="2"/>
    </row>
    <row r="71" spans="1:19" x14ac:dyDescent="0.2">
      <c r="A71" s="24">
        <v>72</v>
      </c>
      <c r="B71" s="24" t="s">
        <v>126</v>
      </c>
      <c r="C71">
        <v>39.704722220000001</v>
      </c>
      <c r="D71">
        <v>21.611666670000002</v>
      </c>
      <c r="E71" t="s">
        <v>364</v>
      </c>
      <c r="F71" t="s">
        <v>368</v>
      </c>
      <c r="G71" t="s">
        <v>335</v>
      </c>
      <c r="H71" s="1">
        <v>44035</v>
      </c>
      <c r="I71">
        <v>3</v>
      </c>
      <c r="J71">
        <v>3</v>
      </c>
      <c r="K71">
        <v>0</v>
      </c>
      <c r="L71">
        <f t="shared" si="2"/>
        <v>3</v>
      </c>
      <c r="M71">
        <f t="shared" si="3"/>
        <v>1</v>
      </c>
      <c r="N71">
        <v>3</v>
      </c>
      <c r="P71" s="2" t="s">
        <v>58</v>
      </c>
      <c r="Q71" s="4" t="s">
        <v>293</v>
      </c>
      <c r="R71" s="2"/>
    </row>
    <row r="72" spans="1:19" x14ac:dyDescent="0.2">
      <c r="A72" s="24">
        <v>73</v>
      </c>
      <c r="B72" s="24" t="s">
        <v>127</v>
      </c>
      <c r="C72">
        <v>39.737499999999997</v>
      </c>
      <c r="D72">
        <v>21.546944440000001</v>
      </c>
      <c r="E72" t="s">
        <v>364</v>
      </c>
      <c r="F72" t="s">
        <v>368</v>
      </c>
      <c r="G72" t="s">
        <v>335</v>
      </c>
      <c r="H72" s="1">
        <v>44035</v>
      </c>
      <c r="I72">
        <v>3</v>
      </c>
      <c r="J72">
        <v>3</v>
      </c>
      <c r="K72">
        <v>0</v>
      </c>
      <c r="L72">
        <f t="shared" si="2"/>
        <v>3</v>
      </c>
      <c r="M72">
        <f t="shared" si="3"/>
        <v>1</v>
      </c>
      <c r="N72">
        <v>3</v>
      </c>
      <c r="P72" s="2" t="s">
        <v>58</v>
      </c>
      <c r="Q72" s="4" t="s">
        <v>293</v>
      </c>
      <c r="R72" s="2"/>
    </row>
    <row r="73" spans="1:19" x14ac:dyDescent="0.2">
      <c r="A73" s="25">
        <v>74</v>
      </c>
      <c r="B73" s="25" t="s">
        <v>128</v>
      </c>
      <c r="C73">
        <v>61.049427999999999</v>
      </c>
      <c r="D73">
        <v>7.6289689999999997</v>
      </c>
      <c r="E73" t="s">
        <v>363</v>
      </c>
      <c r="F73" t="s">
        <v>368</v>
      </c>
      <c r="G73" t="s">
        <v>336</v>
      </c>
      <c r="H73" s="1">
        <v>44087</v>
      </c>
      <c r="I73">
        <v>3</v>
      </c>
      <c r="J73">
        <v>0</v>
      </c>
      <c r="K73" s="2" t="s">
        <v>386</v>
      </c>
      <c r="L73" s="2" t="s">
        <v>386</v>
      </c>
      <c r="M73" s="2" t="s">
        <v>386</v>
      </c>
      <c r="N73" s="2" t="s">
        <v>386</v>
      </c>
      <c r="O73">
        <v>0</v>
      </c>
      <c r="P73" s="2" t="s">
        <v>60</v>
      </c>
      <c r="Q73" s="4" t="s">
        <v>9</v>
      </c>
      <c r="R73" s="2">
        <v>0</v>
      </c>
      <c r="S73" t="s">
        <v>390</v>
      </c>
    </row>
    <row r="74" spans="1:19" x14ac:dyDescent="0.2">
      <c r="A74" s="24">
        <v>75</v>
      </c>
      <c r="B74" s="24" t="s">
        <v>129</v>
      </c>
      <c r="C74">
        <v>61.165973899999997</v>
      </c>
      <c r="D74">
        <v>6.9060569999999997</v>
      </c>
      <c r="E74" t="s">
        <v>363</v>
      </c>
      <c r="F74" t="s">
        <v>368</v>
      </c>
      <c r="G74" t="s">
        <v>336</v>
      </c>
      <c r="H74" s="1">
        <v>44090</v>
      </c>
      <c r="I74">
        <v>2</v>
      </c>
      <c r="J74">
        <v>2</v>
      </c>
      <c r="K74">
        <v>0</v>
      </c>
      <c r="L74">
        <f t="shared" si="2"/>
        <v>2</v>
      </c>
      <c r="M74">
        <f t="shared" si="3"/>
        <v>1</v>
      </c>
      <c r="N74">
        <v>2</v>
      </c>
      <c r="P74" s="2" t="s">
        <v>60</v>
      </c>
      <c r="Q74" s="4" t="s">
        <v>9</v>
      </c>
      <c r="R74" s="2"/>
      <c r="S74" t="s">
        <v>68</v>
      </c>
    </row>
    <row r="75" spans="1:19" x14ac:dyDescent="0.2">
      <c r="A75" s="25">
        <v>76</v>
      </c>
      <c r="B75" s="25" t="s">
        <v>130</v>
      </c>
      <c r="C75">
        <v>45.365580000000001</v>
      </c>
      <c r="D75">
        <v>-63.262650000000001</v>
      </c>
      <c r="E75" t="s">
        <v>361</v>
      </c>
      <c r="F75" t="s">
        <v>367</v>
      </c>
      <c r="G75" t="s">
        <v>337</v>
      </c>
      <c r="H75" s="1">
        <v>44116</v>
      </c>
      <c r="I75">
        <v>3</v>
      </c>
      <c r="J75">
        <v>0</v>
      </c>
      <c r="K75" s="2" t="s">
        <v>386</v>
      </c>
      <c r="L75" s="2" t="s">
        <v>386</v>
      </c>
      <c r="M75" s="2" t="s">
        <v>386</v>
      </c>
      <c r="N75" s="2" t="s">
        <v>386</v>
      </c>
      <c r="O75">
        <v>0</v>
      </c>
      <c r="P75" s="2" t="s">
        <v>58</v>
      </c>
      <c r="Q75" s="4" t="s">
        <v>293</v>
      </c>
      <c r="R75" s="2">
        <v>0</v>
      </c>
      <c r="S75" t="s">
        <v>295</v>
      </c>
    </row>
    <row r="76" spans="1:19" x14ac:dyDescent="0.2">
      <c r="A76" s="24">
        <v>77</v>
      </c>
      <c r="B76" s="24" t="s">
        <v>131</v>
      </c>
      <c r="C76">
        <v>44.841944439999999</v>
      </c>
      <c r="D76">
        <v>20.403333329999999</v>
      </c>
      <c r="E76" t="s">
        <v>364</v>
      </c>
      <c r="F76" t="s">
        <v>368</v>
      </c>
      <c r="G76" t="s">
        <v>338</v>
      </c>
      <c r="I76">
        <v>3</v>
      </c>
      <c r="J76">
        <v>3</v>
      </c>
      <c r="K76">
        <v>0</v>
      </c>
      <c r="L76">
        <f t="shared" si="2"/>
        <v>3</v>
      </c>
      <c r="M76">
        <f t="shared" si="3"/>
        <v>1</v>
      </c>
      <c r="N76">
        <v>3</v>
      </c>
      <c r="P76" s="2" t="s">
        <v>58</v>
      </c>
      <c r="Q76" s="4" t="s">
        <v>293</v>
      </c>
      <c r="R76" s="2"/>
    </row>
    <row r="77" spans="1:19" x14ac:dyDescent="0.2">
      <c r="A77" s="24">
        <v>78</v>
      </c>
      <c r="B77" s="24" t="s">
        <v>132</v>
      </c>
      <c r="C77">
        <v>32.368000000000002</v>
      </c>
      <c r="D77">
        <v>-106.56</v>
      </c>
      <c r="E77" t="s">
        <v>360</v>
      </c>
      <c r="F77" t="s">
        <v>367</v>
      </c>
      <c r="G77" t="s">
        <v>339</v>
      </c>
      <c r="H77" s="1">
        <v>44099</v>
      </c>
      <c r="I77">
        <v>3</v>
      </c>
      <c r="J77">
        <v>3</v>
      </c>
      <c r="K77">
        <v>0</v>
      </c>
      <c r="L77">
        <f t="shared" si="2"/>
        <v>3</v>
      </c>
      <c r="M77">
        <f t="shared" si="3"/>
        <v>1</v>
      </c>
      <c r="N77">
        <v>3</v>
      </c>
      <c r="P77" s="2" t="s">
        <v>58</v>
      </c>
      <c r="Q77" s="4" t="s">
        <v>293</v>
      </c>
      <c r="R77" s="2"/>
    </row>
    <row r="78" spans="1:19" x14ac:dyDescent="0.2">
      <c r="A78" s="24">
        <v>79</v>
      </c>
      <c r="B78" s="24" t="s">
        <v>133</v>
      </c>
      <c r="C78">
        <v>32.767777000000002</v>
      </c>
      <c r="D78">
        <v>35.388610999999997</v>
      </c>
      <c r="E78" t="s">
        <v>364</v>
      </c>
      <c r="F78" t="s">
        <v>368</v>
      </c>
      <c r="G78" t="s">
        <v>297</v>
      </c>
      <c r="H78">
        <v>2016</v>
      </c>
      <c r="I78">
        <v>3</v>
      </c>
      <c r="J78">
        <v>3</v>
      </c>
      <c r="K78">
        <v>0</v>
      </c>
      <c r="L78">
        <f t="shared" si="2"/>
        <v>3</v>
      </c>
      <c r="M78">
        <f t="shared" si="3"/>
        <v>1</v>
      </c>
      <c r="N78" s="2" t="s">
        <v>386</v>
      </c>
      <c r="O78" s="2" t="s">
        <v>386</v>
      </c>
      <c r="P78" s="2" t="s">
        <v>58</v>
      </c>
      <c r="Q78" s="4" t="s">
        <v>9</v>
      </c>
      <c r="R78" s="2"/>
      <c r="S78" t="s">
        <v>384</v>
      </c>
    </row>
    <row r="79" spans="1:19" x14ac:dyDescent="0.2">
      <c r="A79" s="25">
        <v>80</v>
      </c>
      <c r="B79" s="25" t="s">
        <v>134</v>
      </c>
      <c r="C79">
        <v>38.861870000000003</v>
      </c>
      <c r="D79">
        <v>33.426304999999999</v>
      </c>
      <c r="E79" t="s">
        <v>364</v>
      </c>
      <c r="F79" t="s">
        <v>368</v>
      </c>
      <c r="G79" t="s">
        <v>297</v>
      </c>
      <c r="H79" t="s">
        <v>297</v>
      </c>
      <c r="I79">
        <v>3</v>
      </c>
      <c r="J79">
        <v>0</v>
      </c>
      <c r="K79" s="2" t="s">
        <v>386</v>
      </c>
      <c r="L79" s="2" t="s">
        <v>386</v>
      </c>
      <c r="M79" s="2" t="s">
        <v>386</v>
      </c>
      <c r="N79" s="2" t="s">
        <v>386</v>
      </c>
      <c r="O79">
        <v>0</v>
      </c>
      <c r="P79" s="2" t="s">
        <v>58</v>
      </c>
      <c r="Q79" s="4" t="s">
        <v>293</v>
      </c>
      <c r="R79" s="2">
        <v>1</v>
      </c>
    </row>
    <row r="80" spans="1:19" x14ac:dyDescent="0.2">
      <c r="A80" s="24">
        <v>81</v>
      </c>
      <c r="B80" s="24" t="s">
        <v>135</v>
      </c>
      <c r="C80">
        <v>39.687362</v>
      </c>
      <c r="D80">
        <v>32.914831999999997</v>
      </c>
      <c r="E80" t="s">
        <v>364</v>
      </c>
      <c r="F80" t="s">
        <v>368</v>
      </c>
      <c r="G80" t="s">
        <v>297</v>
      </c>
      <c r="H80" t="s">
        <v>297</v>
      </c>
      <c r="I80">
        <v>3</v>
      </c>
      <c r="J80">
        <v>3</v>
      </c>
      <c r="K80">
        <v>1</v>
      </c>
      <c r="L80">
        <f t="shared" si="2"/>
        <v>2</v>
      </c>
      <c r="M80">
        <f t="shared" si="3"/>
        <v>0.66666666666666663</v>
      </c>
      <c r="N80">
        <v>2</v>
      </c>
      <c r="P80" s="2" t="s">
        <v>58</v>
      </c>
      <c r="Q80" s="4" t="s">
        <v>293</v>
      </c>
      <c r="R80" s="2"/>
    </row>
    <row r="81" spans="1:19" x14ac:dyDescent="0.2">
      <c r="A81" s="25">
        <v>82</v>
      </c>
      <c r="B81" s="25" t="s">
        <v>136</v>
      </c>
      <c r="C81">
        <v>39.491481999999998</v>
      </c>
      <c r="D81">
        <v>33.572392000000001</v>
      </c>
      <c r="E81" t="s">
        <v>364</v>
      </c>
      <c r="F81" t="s">
        <v>368</v>
      </c>
      <c r="G81" t="s">
        <v>297</v>
      </c>
      <c r="H81" t="s">
        <v>297</v>
      </c>
      <c r="I81">
        <v>3</v>
      </c>
      <c r="J81">
        <v>0</v>
      </c>
      <c r="K81" s="2" t="s">
        <v>386</v>
      </c>
      <c r="L81" s="2" t="s">
        <v>386</v>
      </c>
      <c r="M81" s="2" t="s">
        <v>386</v>
      </c>
      <c r="N81" s="2" t="s">
        <v>386</v>
      </c>
      <c r="O81">
        <v>0</v>
      </c>
      <c r="P81" s="2" t="s">
        <v>60</v>
      </c>
      <c r="Q81" s="4" t="s">
        <v>9</v>
      </c>
      <c r="R81" s="2">
        <v>0</v>
      </c>
    </row>
    <row r="82" spans="1:19" x14ac:dyDescent="0.2">
      <c r="A82" s="25">
        <v>83</v>
      </c>
      <c r="B82" s="25" t="s">
        <v>137</v>
      </c>
      <c r="C82">
        <v>39.491481999999998</v>
      </c>
      <c r="D82">
        <v>33.572392000000001</v>
      </c>
      <c r="E82" t="s">
        <v>364</v>
      </c>
      <c r="F82" t="s">
        <v>368</v>
      </c>
      <c r="G82" t="s">
        <v>297</v>
      </c>
      <c r="H82" t="s">
        <v>297</v>
      </c>
      <c r="I82">
        <v>3</v>
      </c>
      <c r="J82">
        <v>0</v>
      </c>
      <c r="K82" s="2" t="s">
        <v>386</v>
      </c>
      <c r="L82" s="2" t="s">
        <v>386</v>
      </c>
      <c r="M82" s="2" t="s">
        <v>386</v>
      </c>
      <c r="N82" s="2" t="s">
        <v>386</v>
      </c>
      <c r="O82">
        <v>0</v>
      </c>
      <c r="P82" s="2" t="s">
        <v>58</v>
      </c>
      <c r="Q82" s="4" t="s">
        <v>293</v>
      </c>
      <c r="R82" s="2">
        <v>2</v>
      </c>
    </row>
    <row r="83" spans="1:19" x14ac:dyDescent="0.2">
      <c r="A83" s="24">
        <v>84</v>
      </c>
      <c r="B83" s="24" t="s">
        <v>138</v>
      </c>
      <c r="C83">
        <v>40.244002000000002</v>
      </c>
      <c r="D83">
        <v>42.280745000000003</v>
      </c>
      <c r="E83" t="s">
        <v>366</v>
      </c>
      <c r="F83" t="s">
        <v>368</v>
      </c>
      <c r="G83" t="s">
        <v>297</v>
      </c>
      <c r="H83" t="s">
        <v>297</v>
      </c>
      <c r="I83">
        <v>3</v>
      </c>
      <c r="J83">
        <v>2</v>
      </c>
      <c r="K83">
        <v>0</v>
      </c>
      <c r="L83">
        <f t="shared" si="2"/>
        <v>2</v>
      </c>
      <c r="M83">
        <f t="shared" si="3"/>
        <v>1</v>
      </c>
      <c r="N83">
        <v>2</v>
      </c>
      <c r="P83" s="2" t="s">
        <v>58</v>
      </c>
      <c r="Q83" s="4" t="s">
        <v>293</v>
      </c>
      <c r="R83" s="2">
        <v>8</v>
      </c>
    </row>
    <row r="84" spans="1:19" x14ac:dyDescent="0.2">
      <c r="A84" s="24">
        <v>85</v>
      </c>
      <c r="B84" s="24" t="s">
        <v>139</v>
      </c>
      <c r="C84">
        <v>37.101149999999997</v>
      </c>
      <c r="D84">
        <v>70.555409999999995</v>
      </c>
      <c r="E84" t="s">
        <v>366</v>
      </c>
      <c r="F84" t="s">
        <v>368</v>
      </c>
      <c r="G84" t="s">
        <v>297</v>
      </c>
      <c r="H84" t="s">
        <v>297</v>
      </c>
      <c r="I84">
        <v>3</v>
      </c>
      <c r="J84">
        <v>3</v>
      </c>
      <c r="K84">
        <v>0</v>
      </c>
      <c r="L84">
        <f t="shared" si="2"/>
        <v>3</v>
      </c>
      <c r="M84">
        <f t="shared" si="3"/>
        <v>1</v>
      </c>
      <c r="N84">
        <v>3</v>
      </c>
      <c r="P84" s="2" t="s">
        <v>58</v>
      </c>
      <c r="Q84" s="4" t="s">
        <v>293</v>
      </c>
      <c r="R84" s="2"/>
      <c r="S84" t="s">
        <v>294</v>
      </c>
    </row>
    <row r="85" spans="1:19" x14ac:dyDescent="0.2">
      <c r="A85" s="24">
        <v>86</v>
      </c>
      <c r="B85" s="24" t="s">
        <v>140</v>
      </c>
      <c r="C85">
        <v>31.794902</v>
      </c>
      <c r="D85">
        <v>64.584155999999993</v>
      </c>
      <c r="E85" t="s">
        <v>366</v>
      </c>
      <c r="F85" t="s">
        <v>368</v>
      </c>
      <c r="G85" t="s">
        <v>297</v>
      </c>
      <c r="H85" t="s">
        <v>297</v>
      </c>
      <c r="I85">
        <v>3</v>
      </c>
      <c r="J85">
        <v>2</v>
      </c>
      <c r="K85">
        <v>0</v>
      </c>
      <c r="L85">
        <f t="shared" si="2"/>
        <v>2</v>
      </c>
      <c r="M85">
        <f t="shared" si="3"/>
        <v>1</v>
      </c>
      <c r="N85">
        <v>2</v>
      </c>
      <c r="P85" s="2" t="s">
        <v>58</v>
      </c>
      <c r="Q85" s="4" t="s">
        <v>293</v>
      </c>
      <c r="R85" s="2"/>
    </row>
    <row r="86" spans="1:19" x14ac:dyDescent="0.2">
      <c r="A86" s="24">
        <v>87</v>
      </c>
      <c r="B86" s="24" t="s">
        <v>141</v>
      </c>
      <c r="C86">
        <v>31.501234</v>
      </c>
      <c r="D86">
        <v>64.358630000000005</v>
      </c>
      <c r="E86" t="s">
        <v>366</v>
      </c>
      <c r="F86" t="s">
        <v>368</v>
      </c>
      <c r="G86" t="s">
        <v>297</v>
      </c>
      <c r="H86" t="s">
        <v>297</v>
      </c>
      <c r="I86">
        <v>3</v>
      </c>
      <c r="J86">
        <v>3</v>
      </c>
      <c r="K86">
        <v>0</v>
      </c>
      <c r="L86">
        <f t="shared" si="2"/>
        <v>3</v>
      </c>
      <c r="M86">
        <f t="shared" si="3"/>
        <v>1</v>
      </c>
      <c r="N86">
        <v>3</v>
      </c>
      <c r="P86" s="2" t="s">
        <v>58</v>
      </c>
      <c r="Q86" s="4" t="s">
        <v>293</v>
      </c>
      <c r="R86" s="2"/>
    </row>
    <row r="87" spans="1:19" x14ac:dyDescent="0.2">
      <c r="A87" s="24">
        <v>88</v>
      </c>
      <c r="B87" s="24" t="s">
        <v>142</v>
      </c>
      <c r="C87">
        <v>31.397403000000001</v>
      </c>
      <c r="D87">
        <v>65.925388999999996</v>
      </c>
      <c r="E87" t="s">
        <v>366</v>
      </c>
      <c r="F87" t="s">
        <v>368</v>
      </c>
      <c r="G87" t="s">
        <v>297</v>
      </c>
      <c r="H87" t="s">
        <v>297</v>
      </c>
      <c r="I87">
        <v>3</v>
      </c>
      <c r="J87">
        <v>3</v>
      </c>
      <c r="K87">
        <v>0</v>
      </c>
      <c r="L87">
        <f t="shared" si="2"/>
        <v>3</v>
      </c>
      <c r="M87">
        <f t="shared" si="3"/>
        <v>1</v>
      </c>
      <c r="N87">
        <v>3</v>
      </c>
      <c r="P87" s="2" t="s">
        <v>58</v>
      </c>
      <c r="Q87" s="4" t="s">
        <v>293</v>
      </c>
      <c r="R87" s="2"/>
    </row>
    <row r="88" spans="1:19" x14ac:dyDescent="0.2">
      <c r="A88" s="24">
        <v>89</v>
      </c>
      <c r="B88" s="24" t="s">
        <v>143</v>
      </c>
      <c r="C88">
        <v>32.164834999999997</v>
      </c>
      <c r="D88">
        <v>63.429217000000001</v>
      </c>
      <c r="E88" t="s">
        <v>366</v>
      </c>
      <c r="F88" t="s">
        <v>368</v>
      </c>
      <c r="G88" t="s">
        <v>297</v>
      </c>
      <c r="H88" t="s">
        <v>297</v>
      </c>
      <c r="I88">
        <v>3</v>
      </c>
      <c r="J88">
        <v>3</v>
      </c>
      <c r="K88">
        <v>0</v>
      </c>
      <c r="L88">
        <f t="shared" si="2"/>
        <v>3</v>
      </c>
      <c r="M88">
        <f t="shared" si="3"/>
        <v>1</v>
      </c>
      <c r="N88">
        <v>3</v>
      </c>
      <c r="P88" s="2" t="s">
        <v>58</v>
      </c>
      <c r="Q88" s="4" t="s">
        <v>293</v>
      </c>
      <c r="R88" s="2"/>
    </row>
    <row r="89" spans="1:19" x14ac:dyDescent="0.2">
      <c r="A89" s="24">
        <v>90</v>
      </c>
      <c r="B89" s="24" t="s">
        <v>144</v>
      </c>
      <c r="C89">
        <v>32.321767000000001</v>
      </c>
      <c r="D89">
        <v>65.117188999999996</v>
      </c>
      <c r="E89" t="s">
        <v>366</v>
      </c>
      <c r="F89" t="s">
        <v>368</v>
      </c>
      <c r="G89" t="s">
        <v>297</v>
      </c>
      <c r="H89" t="s">
        <v>297</v>
      </c>
      <c r="I89">
        <v>3</v>
      </c>
      <c r="J89">
        <v>3</v>
      </c>
      <c r="K89">
        <v>0</v>
      </c>
      <c r="L89">
        <f t="shared" si="2"/>
        <v>3</v>
      </c>
      <c r="M89">
        <f t="shared" si="3"/>
        <v>1</v>
      </c>
      <c r="N89">
        <v>3</v>
      </c>
      <c r="P89" s="2" t="s">
        <v>58</v>
      </c>
      <c r="Q89" s="4" t="s">
        <v>293</v>
      </c>
      <c r="R89" s="2"/>
    </row>
    <row r="90" spans="1:19" x14ac:dyDescent="0.2">
      <c r="A90" s="24">
        <v>91</v>
      </c>
      <c r="B90" s="24" t="s">
        <v>145</v>
      </c>
      <c r="C90">
        <v>31.850019</v>
      </c>
      <c r="D90">
        <v>65.885392999999993</v>
      </c>
      <c r="E90" t="s">
        <v>366</v>
      </c>
      <c r="F90" t="s">
        <v>368</v>
      </c>
      <c r="G90" t="s">
        <v>297</v>
      </c>
      <c r="H90" t="s">
        <v>297</v>
      </c>
      <c r="I90">
        <v>3</v>
      </c>
      <c r="J90">
        <v>2</v>
      </c>
      <c r="K90">
        <v>0</v>
      </c>
      <c r="L90">
        <f t="shared" si="2"/>
        <v>2</v>
      </c>
      <c r="M90">
        <f t="shared" si="3"/>
        <v>1</v>
      </c>
      <c r="N90">
        <v>2</v>
      </c>
      <c r="P90" s="2" t="s">
        <v>58</v>
      </c>
      <c r="Q90" s="4" t="s">
        <v>293</v>
      </c>
      <c r="R90" s="2">
        <v>1</v>
      </c>
    </row>
    <row r="91" spans="1:19" x14ac:dyDescent="0.2">
      <c r="A91" s="24">
        <v>92</v>
      </c>
      <c r="B91" s="24" t="s">
        <v>146</v>
      </c>
      <c r="C91">
        <v>31.940314999999998</v>
      </c>
      <c r="D91">
        <v>66.651757000000003</v>
      </c>
      <c r="E91" t="s">
        <v>366</v>
      </c>
      <c r="F91" t="s">
        <v>368</v>
      </c>
      <c r="G91" t="s">
        <v>297</v>
      </c>
      <c r="H91" t="s">
        <v>297</v>
      </c>
      <c r="I91">
        <v>3</v>
      </c>
      <c r="J91">
        <v>3</v>
      </c>
      <c r="K91">
        <v>0</v>
      </c>
      <c r="L91">
        <f t="shared" si="2"/>
        <v>3</v>
      </c>
      <c r="M91">
        <f t="shared" si="3"/>
        <v>1</v>
      </c>
      <c r="N91">
        <v>3</v>
      </c>
      <c r="P91" s="2" t="s">
        <v>58</v>
      </c>
      <c r="Q91" s="4" t="s">
        <v>293</v>
      </c>
      <c r="R91" s="2"/>
    </row>
    <row r="92" spans="1:19" x14ac:dyDescent="0.2">
      <c r="A92" s="24">
        <v>93</v>
      </c>
      <c r="B92" s="24" t="s">
        <v>147</v>
      </c>
      <c r="C92">
        <v>33.751680999999998</v>
      </c>
      <c r="D92">
        <v>69.148685</v>
      </c>
      <c r="E92" t="s">
        <v>366</v>
      </c>
      <c r="F92" t="s">
        <v>368</v>
      </c>
      <c r="G92" t="s">
        <v>297</v>
      </c>
      <c r="H92" t="s">
        <v>297</v>
      </c>
      <c r="I92">
        <v>3</v>
      </c>
      <c r="J92">
        <v>2</v>
      </c>
      <c r="K92">
        <v>0</v>
      </c>
      <c r="L92">
        <f t="shared" si="2"/>
        <v>2</v>
      </c>
      <c r="M92">
        <f t="shared" si="3"/>
        <v>1</v>
      </c>
      <c r="N92">
        <v>2</v>
      </c>
      <c r="O92">
        <v>1</v>
      </c>
      <c r="P92" s="2" t="s">
        <v>58</v>
      </c>
      <c r="Q92" s="4" t="s">
        <v>293</v>
      </c>
      <c r="R92" s="2"/>
      <c r="S92" t="s">
        <v>387</v>
      </c>
    </row>
    <row r="93" spans="1:19" x14ac:dyDescent="0.2">
      <c r="A93" s="24">
        <v>94</v>
      </c>
      <c r="B93" s="24" t="s">
        <v>148</v>
      </c>
      <c r="C93">
        <v>34.926440999999997</v>
      </c>
      <c r="D93">
        <v>68.351308000000003</v>
      </c>
      <c r="E93" t="s">
        <v>366</v>
      </c>
      <c r="F93" t="s">
        <v>368</v>
      </c>
      <c r="G93" t="s">
        <v>297</v>
      </c>
      <c r="H93" t="s">
        <v>297</v>
      </c>
      <c r="I93">
        <v>3</v>
      </c>
      <c r="J93">
        <v>3</v>
      </c>
      <c r="K93">
        <v>0</v>
      </c>
      <c r="L93">
        <f t="shared" si="2"/>
        <v>3</v>
      </c>
      <c r="M93">
        <f t="shared" si="3"/>
        <v>1</v>
      </c>
      <c r="N93">
        <v>3</v>
      </c>
      <c r="P93" s="2" t="s">
        <v>58</v>
      </c>
      <c r="Q93" s="4" t="s">
        <v>293</v>
      </c>
      <c r="R93" s="2"/>
      <c r="S93" t="s">
        <v>294</v>
      </c>
    </row>
    <row r="94" spans="1:19" x14ac:dyDescent="0.2">
      <c r="A94" s="24">
        <v>95</v>
      </c>
      <c r="B94" s="24" t="s">
        <v>149</v>
      </c>
      <c r="C94">
        <v>34.964353000000003</v>
      </c>
      <c r="D94">
        <v>68.650520999999998</v>
      </c>
      <c r="E94" t="s">
        <v>366</v>
      </c>
      <c r="F94" t="s">
        <v>368</v>
      </c>
      <c r="G94" t="s">
        <v>297</v>
      </c>
      <c r="H94" t="s">
        <v>297</v>
      </c>
      <c r="I94">
        <v>3</v>
      </c>
      <c r="J94">
        <v>3</v>
      </c>
      <c r="K94">
        <v>0</v>
      </c>
      <c r="L94">
        <f t="shared" si="2"/>
        <v>3</v>
      </c>
      <c r="M94">
        <f t="shared" si="3"/>
        <v>1</v>
      </c>
      <c r="N94">
        <v>3</v>
      </c>
      <c r="P94" s="2" t="s">
        <v>58</v>
      </c>
      <c r="Q94" s="4" t="s">
        <v>293</v>
      </c>
      <c r="R94" s="2"/>
    </row>
    <row r="95" spans="1:19" x14ac:dyDescent="0.2">
      <c r="A95" s="24">
        <v>96</v>
      </c>
      <c r="B95" s="24" t="s">
        <v>150</v>
      </c>
      <c r="C95">
        <v>34.381667999999998</v>
      </c>
      <c r="D95">
        <v>62.191648000000001</v>
      </c>
      <c r="E95" t="s">
        <v>366</v>
      </c>
      <c r="F95" t="s">
        <v>368</v>
      </c>
      <c r="G95" t="s">
        <v>297</v>
      </c>
      <c r="H95" t="s">
        <v>297</v>
      </c>
      <c r="I95">
        <v>3</v>
      </c>
      <c r="J95">
        <v>2</v>
      </c>
      <c r="K95">
        <v>0</v>
      </c>
      <c r="L95">
        <f t="shared" si="2"/>
        <v>2</v>
      </c>
      <c r="M95">
        <f t="shared" si="3"/>
        <v>1</v>
      </c>
      <c r="N95">
        <v>2</v>
      </c>
      <c r="P95" s="2" t="s">
        <v>58</v>
      </c>
      <c r="Q95" s="4" t="s">
        <v>293</v>
      </c>
      <c r="R95" s="2"/>
    </row>
    <row r="96" spans="1:19" x14ac:dyDescent="0.2">
      <c r="A96" s="24">
        <v>97</v>
      </c>
      <c r="B96" s="24" t="s">
        <v>151</v>
      </c>
      <c r="C96">
        <v>33.891078</v>
      </c>
      <c r="D96">
        <v>68.659638000000001</v>
      </c>
      <c r="E96" t="s">
        <v>366</v>
      </c>
      <c r="F96" t="s">
        <v>368</v>
      </c>
      <c r="G96" t="s">
        <v>297</v>
      </c>
      <c r="H96" t="s">
        <v>297</v>
      </c>
      <c r="I96">
        <v>3</v>
      </c>
      <c r="J96">
        <v>1</v>
      </c>
      <c r="K96">
        <v>1</v>
      </c>
      <c r="L96">
        <f t="shared" si="2"/>
        <v>0</v>
      </c>
      <c r="M96">
        <f t="shared" si="3"/>
        <v>0</v>
      </c>
      <c r="N96">
        <v>1</v>
      </c>
      <c r="O96">
        <v>0</v>
      </c>
      <c r="P96" s="2" t="s">
        <v>58</v>
      </c>
      <c r="Q96" s="4" t="s">
        <v>293</v>
      </c>
      <c r="R96" s="2">
        <v>3</v>
      </c>
    </row>
    <row r="97" spans="1:19" x14ac:dyDescent="0.2">
      <c r="A97" s="25">
        <v>98</v>
      </c>
      <c r="B97" s="25" t="s">
        <v>152</v>
      </c>
      <c r="C97">
        <v>34.905862999999997</v>
      </c>
      <c r="D97">
        <v>68.257185000000007</v>
      </c>
      <c r="E97" t="s">
        <v>366</v>
      </c>
      <c r="F97" t="s">
        <v>368</v>
      </c>
      <c r="G97" t="s">
        <v>297</v>
      </c>
      <c r="H97" t="s">
        <v>297</v>
      </c>
      <c r="I97">
        <v>3</v>
      </c>
      <c r="J97">
        <v>0</v>
      </c>
      <c r="K97" s="2" t="s">
        <v>386</v>
      </c>
      <c r="L97" s="2" t="s">
        <v>386</v>
      </c>
      <c r="M97" s="2" t="s">
        <v>386</v>
      </c>
      <c r="N97" s="2" t="s">
        <v>386</v>
      </c>
      <c r="O97">
        <v>0</v>
      </c>
      <c r="P97" s="2" t="s">
        <v>58</v>
      </c>
      <c r="Q97" s="4" t="s">
        <v>293</v>
      </c>
      <c r="R97" s="2">
        <v>3</v>
      </c>
    </row>
    <row r="98" spans="1:19" x14ac:dyDescent="0.2">
      <c r="A98" s="25">
        <v>99</v>
      </c>
      <c r="B98" s="25" t="s">
        <v>153</v>
      </c>
      <c r="C98">
        <v>35.811718999999997</v>
      </c>
      <c r="D98">
        <v>51.473042999999997</v>
      </c>
      <c r="E98" t="s">
        <v>366</v>
      </c>
      <c r="F98" t="s">
        <v>368</v>
      </c>
      <c r="G98" t="s">
        <v>297</v>
      </c>
      <c r="H98" t="s">
        <v>297</v>
      </c>
      <c r="I98">
        <v>3</v>
      </c>
      <c r="J98">
        <v>0</v>
      </c>
      <c r="K98" s="2" t="s">
        <v>386</v>
      </c>
      <c r="L98" s="2" t="s">
        <v>386</v>
      </c>
      <c r="M98" s="2" t="s">
        <v>386</v>
      </c>
      <c r="N98" s="2" t="s">
        <v>386</v>
      </c>
      <c r="O98">
        <v>0</v>
      </c>
      <c r="P98" s="2" t="s">
        <v>58</v>
      </c>
      <c r="Q98" s="4" t="s">
        <v>293</v>
      </c>
      <c r="R98" s="2">
        <v>3</v>
      </c>
      <c r="S98" s="12" t="s">
        <v>391</v>
      </c>
    </row>
    <row r="99" spans="1:19" x14ac:dyDescent="0.2">
      <c r="A99" s="24">
        <v>100</v>
      </c>
      <c r="B99" s="24" t="s">
        <v>154</v>
      </c>
      <c r="C99">
        <v>29.272638000000001</v>
      </c>
      <c r="D99">
        <v>52.664414000000001</v>
      </c>
      <c r="E99" t="s">
        <v>366</v>
      </c>
      <c r="F99" t="s">
        <v>368</v>
      </c>
      <c r="G99" t="s">
        <v>297</v>
      </c>
      <c r="H99" t="s">
        <v>297</v>
      </c>
      <c r="I99">
        <v>3</v>
      </c>
      <c r="J99">
        <v>2</v>
      </c>
      <c r="K99">
        <v>0</v>
      </c>
      <c r="L99">
        <f t="shared" si="2"/>
        <v>2</v>
      </c>
      <c r="M99">
        <f t="shared" si="3"/>
        <v>1</v>
      </c>
      <c r="N99">
        <v>2</v>
      </c>
      <c r="P99" s="2" t="s">
        <v>58</v>
      </c>
      <c r="Q99" s="4" t="s">
        <v>293</v>
      </c>
      <c r="R99" s="2"/>
    </row>
    <row r="100" spans="1:19" x14ac:dyDescent="0.2">
      <c r="A100" s="24">
        <v>101</v>
      </c>
      <c r="B100" s="24" t="s">
        <v>155</v>
      </c>
      <c r="C100">
        <v>29.719025999999999</v>
      </c>
      <c r="D100">
        <v>52.590890999999999</v>
      </c>
      <c r="E100" t="s">
        <v>366</v>
      </c>
      <c r="F100" t="s">
        <v>368</v>
      </c>
      <c r="G100" t="s">
        <v>297</v>
      </c>
      <c r="H100" t="s">
        <v>297</v>
      </c>
      <c r="I100">
        <v>3</v>
      </c>
      <c r="J100">
        <v>2</v>
      </c>
      <c r="K100">
        <v>0</v>
      </c>
      <c r="L100">
        <f t="shared" si="2"/>
        <v>2</v>
      </c>
      <c r="M100">
        <f t="shared" si="3"/>
        <v>1</v>
      </c>
      <c r="N100">
        <v>2</v>
      </c>
      <c r="P100" s="2" t="s">
        <v>58</v>
      </c>
      <c r="Q100" s="4" t="s">
        <v>293</v>
      </c>
      <c r="R100" s="2">
        <v>16</v>
      </c>
    </row>
    <row r="101" spans="1:19" x14ac:dyDescent="0.2">
      <c r="A101" s="24">
        <v>102</v>
      </c>
      <c r="B101" s="24" t="s">
        <v>156</v>
      </c>
      <c r="C101">
        <v>35.333804999999998</v>
      </c>
      <c r="D101">
        <v>47.232081999999998</v>
      </c>
      <c r="E101" t="s">
        <v>366</v>
      </c>
      <c r="F101" t="s">
        <v>368</v>
      </c>
      <c r="G101" t="s">
        <v>297</v>
      </c>
      <c r="H101" t="s">
        <v>297</v>
      </c>
      <c r="I101">
        <v>3</v>
      </c>
      <c r="J101">
        <v>2</v>
      </c>
      <c r="K101">
        <v>1</v>
      </c>
      <c r="L101">
        <f t="shared" si="2"/>
        <v>1</v>
      </c>
      <c r="M101">
        <f t="shared" si="3"/>
        <v>0.5</v>
      </c>
      <c r="N101">
        <v>1</v>
      </c>
      <c r="P101" s="2" t="s">
        <v>58</v>
      </c>
      <c r="Q101" s="4" t="s">
        <v>293</v>
      </c>
      <c r="R101" s="2">
        <v>1</v>
      </c>
    </row>
    <row r="102" spans="1:19" x14ac:dyDescent="0.2">
      <c r="A102" s="25">
        <v>103</v>
      </c>
      <c r="B102" s="25" t="s">
        <v>157</v>
      </c>
      <c r="C102">
        <v>35.689036000000002</v>
      </c>
      <c r="D102">
        <v>51.388361000000003</v>
      </c>
      <c r="E102" t="s">
        <v>366</v>
      </c>
      <c r="F102" t="s">
        <v>368</v>
      </c>
      <c r="G102" t="s">
        <v>297</v>
      </c>
      <c r="H102" t="s">
        <v>297</v>
      </c>
      <c r="I102">
        <v>3</v>
      </c>
      <c r="J102">
        <v>0</v>
      </c>
      <c r="K102" s="2" t="s">
        <v>386</v>
      </c>
      <c r="L102" s="2" t="s">
        <v>386</v>
      </c>
      <c r="M102" s="2" t="s">
        <v>386</v>
      </c>
      <c r="N102" s="2" t="s">
        <v>386</v>
      </c>
      <c r="O102">
        <v>0</v>
      </c>
      <c r="P102" s="2" t="s">
        <v>58</v>
      </c>
      <c r="Q102" s="4" t="s">
        <v>293</v>
      </c>
      <c r="R102" s="2">
        <v>2</v>
      </c>
    </row>
    <row r="103" spans="1:19" x14ac:dyDescent="0.2">
      <c r="A103" s="24">
        <v>104</v>
      </c>
      <c r="B103" s="24" t="s">
        <v>158</v>
      </c>
      <c r="C103">
        <v>39.553285000000002</v>
      </c>
      <c r="D103">
        <v>33.123888000000001</v>
      </c>
      <c r="E103" t="s">
        <v>364</v>
      </c>
      <c r="F103" t="s">
        <v>368</v>
      </c>
      <c r="G103" t="s">
        <v>297</v>
      </c>
      <c r="H103" t="s">
        <v>297</v>
      </c>
      <c r="I103">
        <v>3</v>
      </c>
      <c r="J103">
        <v>1</v>
      </c>
      <c r="K103">
        <v>0</v>
      </c>
      <c r="L103">
        <f t="shared" si="2"/>
        <v>1</v>
      </c>
      <c r="M103">
        <f t="shared" si="3"/>
        <v>1</v>
      </c>
      <c r="N103">
        <v>1</v>
      </c>
      <c r="P103" s="2" t="s">
        <v>58</v>
      </c>
      <c r="Q103" s="4" t="s">
        <v>293</v>
      </c>
      <c r="R103" s="2">
        <v>1</v>
      </c>
    </row>
    <row r="104" spans="1:19" x14ac:dyDescent="0.2">
      <c r="A104" s="24">
        <v>105</v>
      </c>
      <c r="B104" s="24" t="s">
        <v>159</v>
      </c>
      <c r="C104">
        <v>34.228869000000003</v>
      </c>
      <c r="D104">
        <v>70.193233000000006</v>
      </c>
      <c r="E104" t="s">
        <v>366</v>
      </c>
      <c r="F104" t="s">
        <v>368</v>
      </c>
      <c r="G104" t="s">
        <v>297</v>
      </c>
      <c r="H104" t="s">
        <v>297</v>
      </c>
      <c r="I104">
        <v>3</v>
      </c>
      <c r="J104">
        <v>1</v>
      </c>
      <c r="K104">
        <v>0</v>
      </c>
      <c r="L104">
        <f t="shared" si="2"/>
        <v>1</v>
      </c>
      <c r="M104">
        <f t="shared" si="3"/>
        <v>1</v>
      </c>
      <c r="N104">
        <v>1</v>
      </c>
      <c r="P104" s="2" t="s">
        <v>58</v>
      </c>
      <c r="Q104" s="4" t="s">
        <v>293</v>
      </c>
      <c r="R104" s="2">
        <v>1</v>
      </c>
    </row>
    <row r="105" spans="1:19" x14ac:dyDescent="0.2">
      <c r="A105" s="25">
        <v>106</v>
      </c>
      <c r="B105" s="25" t="s">
        <v>160</v>
      </c>
      <c r="C105">
        <v>46.580626000000002</v>
      </c>
      <c r="D105">
        <v>23.787901999999999</v>
      </c>
      <c r="E105" t="s">
        <v>363</v>
      </c>
      <c r="F105" t="s">
        <v>368</v>
      </c>
      <c r="G105" t="s">
        <v>297</v>
      </c>
      <c r="H105" t="s">
        <v>297</v>
      </c>
      <c r="I105">
        <v>3</v>
      </c>
      <c r="J105">
        <v>0</v>
      </c>
      <c r="K105" s="2" t="s">
        <v>386</v>
      </c>
      <c r="L105" s="2" t="s">
        <v>386</v>
      </c>
      <c r="M105" s="2" t="s">
        <v>386</v>
      </c>
      <c r="N105" s="2" t="s">
        <v>386</v>
      </c>
      <c r="O105">
        <v>0</v>
      </c>
      <c r="P105" s="2" t="s">
        <v>60</v>
      </c>
      <c r="Q105" s="4" t="s">
        <v>9</v>
      </c>
      <c r="R105" s="2">
        <v>0</v>
      </c>
    </row>
    <row r="106" spans="1:19" x14ac:dyDescent="0.2">
      <c r="A106" s="24">
        <v>107</v>
      </c>
      <c r="B106" s="24" t="s">
        <v>161</v>
      </c>
      <c r="C106">
        <v>34.439337000000002</v>
      </c>
      <c r="D106">
        <v>63.114106</v>
      </c>
      <c r="E106" t="s">
        <v>366</v>
      </c>
      <c r="F106" t="s">
        <v>368</v>
      </c>
      <c r="G106" t="s">
        <v>297</v>
      </c>
      <c r="H106" t="s">
        <v>297</v>
      </c>
      <c r="I106">
        <v>3</v>
      </c>
      <c r="J106">
        <v>3</v>
      </c>
      <c r="K106">
        <v>2</v>
      </c>
      <c r="L106">
        <f t="shared" si="2"/>
        <v>1</v>
      </c>
      <c r="M106">
        <f t="shared" si="3"/>
        <v>0.33333333333333331</v>
      </c>
      <c r="N106">
        <v>1</v>
      </c>
      <c r="O106">
        <v>0</v>
      </c>
      <c r="P106" s="2" t="s">
        <v>58</v>
      </c>
      <c r="Q106" s="4" t="s">
        <v>293</v>
      </c>
      <c r="R106" s="2">
        <v>4</v>
      </c>
      <c r="S106" t="s">
        <v>387</v>
      </c>
    </row>
    <row r="107" spans="1:19" x14ac:dyDescent="0.2">
      <c r="A107" s="24">
        <v>108</v>
      </c>
      <c r="B107" s="24" t="s">
        <v>162</v>
      </c>
      <c r="C107">
        <v>43.557597000000001</v>
      </c>
      <c r="D107">
        <v>21.691519</v>
      </c>
      <c r="E107" t="s">
        <v>364</v>
      </c>
      <c r="F107" t="s">
        <v>368</v>
      </c>
      <c r="G107" t="s">
        <v>297</v>
      </c>
      <c r="H107" t="s">
        <v>297</v>
      </c>
      <c r="I107">
        <v>3</v>
      </c>
      <c r="J107">
        <v>2</v>
      </c>
      <c r="K107">
        <v>1</v>
      </c>
      <c r="L107">
        <f t="shared" si="2"/>
        <v>1</v>
      </c>
      <c r="M107">
        <f t="shared" si="3"/>
        <v>0.5</v>
      </c>
      <c r="N107">
        <v>2</v>
      </c>
      <c r="O107">
        <v>1</v>
      </c>
      <c r="P107" s="2" t="s">
        <v>58</v>
      </c>
      <c r="Q107" s="4" t="s">
        <v>293</v>
      </c>
      <c r="R107" s="2"/>
      <c r="S107" t="s">
        <v>294</v>
      </c>
    </row>
    <row r="108" spans="1:19" x14ac:dyDescent="0.2">
      <c r="A108" s="24">
        <v>109</v>
      </c>
      <c r="B108" s="24" t="s">
        <v>163</v>
      </c>
      <c r="C108">
        <v>33.665202000000001</v>
      </c>
      <c r="D108">
        <v>48.786338999999998</v>
      </c>
      <c r="E108" t="s">
        <v>366</v>
      </c>
      <c r="F108" t="s">
        <v>368</v>
      </c>
      <c r="G108" t="s">
        <v>297</v>
      </c>
      <c r="H108" t="s">
        <v>297</v>
      </c>
      <c r="I108">
        <v>3</v>
      </c>
      <c r="J108">
        <v>3</v>
      </c>
      <c r="K108">
        <v>0</v>
      </c>
      <c r="L108">
        <f t="shared" si="2"/>
        <v>3</v>
      </c>
      <c r="M108">
        <f t="shared" si="3"/>
        <v>1</v>
      </c>
      <c r="N108">
        <v>3</v>
      </c>
      <c r="P108" s="2" t="s">
        <v>58</v>
      </c>
      <c r="Q108" s="4" t="s">
        <v>293</v>
      </c>
      <c r="R108" s="2"/>
    </row>
    <row r="109" spans="1:19" x14ac:dyDescent="0.2">
      <c r="A109" s="24">
        <v>110</v>
      </c>
      <c r="B109" s="24" t="s">
        <v>164</v>
      </c>
      <c r="C109">
        <v>41.2</v>
      </c>
      <c r="D109">
        <v>69.900000000000006</v>
      </c>
      <c r="E109" t="s">
        <v>366</v>
      </c>
      <c r="F109" t="s">
        <v>368</v>
      </c>
      <c r="G109" t="s">
        <v>297</v>
      </c>
      <c r="H109" t="s">
        <v>297</v>
      </c>
      <c r="I109">
        <v>3</v>
      </c>
      <c r="J109">
        <v>3</v>
      </c>
      <c r="K109">
        <v>0</v>
      </c>
      <c r="L109">
        <f t="shared" si="2"/>
        <v>3</v>
      </c>
      <c r="M109">
        <f t="shared" si="3"/>
        <v>1</v>
      </c>
      <c r="N109">
        <v>3</v>
      </c>
      <c r="P109" s="2" t="s">
        <v>58</v>
      </c>
      <c r="Q109" s="4" t="s">
        <v>293</v>
      </c>
      <c r="R109" s="2"/>
    </row>
    <row r="110" spans="1:19" x14ac:dyDescent="0.2">
      <c r="A110" s="24">
        <v>111</v>
      </c>
      <c r="B110" s="24" t="s">
        <v>165</v>
      </c>
      <c r="C110">
        <v>41.878003</v>
      </c>
      <c r="D110">
        <v>-93.097701999999998</v>
      </c>
      <c r="E110" t="s">
        <v>362</v>
      </c>
      <c r="F110" t="s">
        <v>367</v>
      </c>
      <c r="G110" t="s">
        <v>297</v>
      </c>
      <c r="H110" t="s">
        <v>297</v>
      </c>
      <c r="I110">
        <v>3</v>
      </c>
      <c r="J110">
        <v>1</v>
      </c>
      <c r="K110">
        <v>1</v>
      </c>
      <c r="L110">
        <f t="shared" si="2"/>
        <v>0</v>
      </c>
      <c r="M110">
        <f t="shared" si="3"/>
        <v>0</v>
      </c>
      <c r="N110">
        <v>0</v>
      </c>
      <c r="P110" s="2" t="s">
        <v>58</v>
      </c>
      <c r="Q110" s="4" t="s">
        <v>293</v>
      </c>
      <c r="R110" s="2">
        <v>3</v>
      </c>
    </row>
    <row r="111" spans="1:19" x14ac:dyDescent="0.2">
      <c r="A111" s="24">
        <v>112</v>
      </c>
      <c r="B111" s="24" t="s">
        <v>166</v>
      </c>
      <c r="C111">
        <v>49.94</v>
      </c>
      <c r="D111">
        <v>-119.51</v>
      </c>
      <c r="E111" t="s">
        <v>362</v>
      </c>
      <c r="F111" t="s">
        <v>367</v>
      </c>
      <c r="G111" t="s">
        <v>297</v>
      </c>
      <c r="H111" t="s">
        <v>297</v>
      </c>
      <c r="I111">
        <v>3</v>
      </c>
      <c r="J111">
        <v>3</v>
      </c>
      <c r="K111">
        <v>0</v>
      </c>
      <c r="L111">
        <f t="shared" si="2"/>
        <v>3</v>
      </c>
      <c r="M111">
        <f t="shared" si="3"/>
        <v>1</v>
      </c>
      <c r="N111">
        <v>3</v>
      </c>
      <c r="P111" s="2" t="s">
        <v>60</v>
      </c>
      <c r="Q111" s="4" t="s">
        <v>9</v>
      </c>
      <c r="R111" s="2"/>
      <c r="S111" t="s">
        <v>68</v>
      </c>
    </row>
    <row r="112" spans="1:19" x14ac:dyDescent="0.2">
      <c r="A112" s="24">
        <v>113</v>
      </c>
      <c r="B112" s="24" t="s">
        <v>167</v>
      </c>
      <c r="C112">
        <v>50.08</v>
      </c>
      <c r="D112">
        <v>-120.65</v>
      </c>
      <c r="E112" t="s">
        <v>362</v>
      </c>
      <c r="F112" t="s">
        <v>367</v>
      </c>
      <c r="G112" t="s">
        <v>297</v>
      </c>
      <c r="H112" t="s">
        <v>297</v>
      </c>
      <c r="I112">
        <v>3</v>
      </c>
      <c r="J112">
        <v>3</v>
      </c>
      <c r="K112">
        <v>0</v>
      </c>
      <c r="L112">
        <f t="shared" si="2"/>
        <v>3</v>
      </c>
      <c r="M112">
        <f t="shared" si="3"/>
        <v>1</v>
      </c>
      <c r="N112">
        <v>3</v>
      </c>
      <c r="P112" s="2" t="s">
        <v>58</v>
      </c>
      <c r="Q112" s="4" t="s">
        <v>293</v>
      </c>
      <c r="R112" s="2"/>
    </row>
    <row r="113" spans="1:18" x14ac:dyDescent="0.2">
      <c r="A113" s="24">
        <v>114</v>
      </c>
      <c r="B113" s="24" t="s">
        <v>168</v>
      </c>
      <c r="C113">
        <v>50.09</v>
      </c>
      <c r="D113">
        <v>-120.45</v>
      </c>
      <c r="E113" t="s">
        <v>362</v>
      </c>
      <c r="F113" t="s">
        <v>367</v>
      </c>
      <c r="G113" t="s">
        <v>297</v>
      </c>
      <c r="H113" t="s">
        <v>297</v>
      </c>
      <c r="I113">
        <v>3</v>
      </c>
      <c r="J113">
        <v>3</v>
      </c>
      <c r="K113">
        <v>0</v>
      </c>
      <c r="L113">
        <f t="shared" si="2"/>
        <v>3</v>
      </c>
      <c r="M113">
        <f t="shared" si="3"/>
        <v>1</v>
      </c>
      <c r="N113">
        <v>0</v>
      </c>
      <c r="O113">
        <v>0</v>
      </c>
      <c r="P113" s="2" t="s">
        <v>58</v>
      </c>
      <c r="Q113" s="4" t="s">
        <v>293</v>
      </c>
      <c r="R113" s="2"/>
    </row>
    <row r="114" spans="1:18" x14ac:dyDescent="0.2">
      <c r="A114" s="24">
        <v>115</v>
      </c>
      <c r="B114" s="24" t="s">
        <v>169</v>
      </c>
      <c r="C114">
        <v>50.09</v>
      </c>
      <c r="D114">
        <v>-120.75</v>
      </c>
      <c r="E114" t="s">
        <v>362</v>
      </c>
      <c r="F114" t="s">
        <v>367</v>
      </c>
      <c r="G114" t="s">
        <v>297</v>
      </c>
      <c r="H114" t="s">
        <v>297</v>
      </c>
      <c r="I114">
        <v>3</v>
      </c>
      <c r="J114">
        <v>3</v>
      </c>
      <c r="K114">
        <v>1</v>
      </c>
      <c r="L114">
        <f t="shared" si="2"/>
        <v>2</v>
      </c>
      <c r="M114">
        <f t="shared" si="3"/>
        <v>0.66666666666666663</v>
      </c>
      <c r="N114">
        <v>2</v>
      </c>
      <c r="P114" s="2" t="s">
        <v>58</v>
      </c>
      <c r="Q114" s="4" t="s">
        <v>293</v>
      </c>
      <c r="R114" s="2"/>
    </row>
    <row r="115" spans="1:18" x14ac:dyDescent="0.2">
      <c r="A115" s="24">
        <v>116</v>
      </c>
      <c r="B115" s="24" t="s">
        <v>170</v>
      </c>
      <c r="C115">
        <v>49.57</v>
      </c>
      <c r="D115">
        <v>-120.55</v>
      </c>
      <c r="E115" t="s">
        <v>362</v>
      </c>
      <c r="F115" t="s">
        <v>367</v>
      </c>
      <c r="G115" t="s">
        <v>297</v>
      </c>
      <c r="H115" t="s">
        <v>297</v>
      </c>
      <c r="I115">
        <v>3</v>
      </c>
      <c r="J115">
        <v>3</v>
      </c>
      <c r="K115">
        <v>0</v>
      </c>
      <c r="L115">
        <f t="shared" si="2"/>
        <v>3</v>
      </c>
      <c r="M115">
        <f t="shared" si="3"/>
        <v>1</v>
      </c>
      <c r="N115">
        <v>2</v>
      </c>
      <c r="P115" s="2" t="s">
        <v>58</v>
      </c>
      <c r="Q115" s="4" t="s">
        <v>293</v>
      </c>
      <c r="R115" s="2"/>
    </row>
    <row r="116" spans="1:18" x14ac:dyDescent="0.2">
      <c r="A116" s="24">
        <v>117</v>
      </c>
      <c r="B116" s="24" t="s">
        <v>171</v>
      </c>
      <c r="C116">
        <v>49.62</v>
      </c>
      <c r="D116">
        <v>-119.8</v>
      </c>
      <c r="E116" t="s">
        <v>362</v>
      </c>
      <c r="F116" t="s">
        <v>367</v>
      </c>
      <c r="G116" t="s">
        <v>297</v>
      </c>
      <c r="H116" t="s">
        <v>297</v>
      </c>
      <c r="I116">
        <v>3</v>
      </c>
      <c r="J116">
        <v>3</v>
      </c>
      <c r="K116">
        <v>0</v>
      </c>
      <c r="L116">
        <f t="shared" si="2"/>
        <v>3</v>
      </c>
      <c r="M116">
        <f t="shared" si="3"/>
        <v>1</v>
      </c>
      <c r="N116">
        <v>0</v>
      </c>
      <c r="O116">
        <v>0</v>
      </c>
      <c r="P116" s="2" t="s">
        <v>58</v>
      </c>
      <c r="Q116" s="4" t="s">
        <v>293</v>
      </c>
      <c r="R116" s="2"/>
    </row>
    <row r="117" spans="1:18" x14ac:dyDescent="0.2">
      <c r="A117" s="24">
        <v>118</v>
      </c>
      <c r="B117" s="24" t="s">
        <v>172</v>
      </c>
      <c r="C117">
        <v>49.71</v>
      </c>
      <c r="D117">
        <v>-120.05</v>
      </c>
      <c r="E117" t="s">
        <v>362</v>
      </c>
      <c r="F117" t="s">
        <v>367</v>
      </c>
      <c r="G117" t="s">
        <v>297</v>
      </c>
      <c r="H117" t="s">
        <v>297</v>
      </c>
      <c r="I117">
        <v>3</v>
      </c>
      <c r="J117">
        <v>3</v>
      </c>
      <c r="K117">
        <v>0</v>
      </c>
      <c r="L117">
        <f t="shared" si="2"/>
        <v>3</v>
      </c>
      <c r="M117">
        <f t="shared" si="3"/>
        <v>1</v>
      </c>
      <c r="N117">
        <v>0</v>
      </c>
      <c r="O117">
        <v>0</v>
      </c>
      <c r="P117" s="2" t="s">
        <v>58</v>
      </c>
      <c r="Q117" s="4" t="s">
        <v>293</v>
      </c>
      <c r="R117" s="2"/>
    </row>
    <row r="118" spans="1:18" x14ac:dyDescent="0.2">
      <c r="A118" s="24">
        <v>119</v>
      </c>
      <c r="B118" s="24" t="s">
        <v>173</v>
      </c>
      <c r="C118">
        <v>41.05</v>
      </c>
      <c r="D118">
        <v>-112.25</v>
      </c>
      <c r="E118" t="s">
        <v>362</v>
      </c>
      <c r="F118" t="s">
        <v>367</v>
      </c>
      <c r="G118" t="s">
        <v>297</v>
      </c>
      <c r="H118" t="s">
        <v>297</v>
      </c>
      <c r="I118">
        <v>3</v>
      </c>
      <c r="J118">
        <v>3</v>
      </c>
      <c r="K118">
        <v>0</v>
      </c>
      <c r="L118">
        <f t="shared" si="2"/>
        <v>3</v>
      </c>
      <c r="M118">
        <f t="shared" si="3"/>
        <v>1</v>
      </c>
      <c r="N118">
        <v>3</v>
      </c>
      <c r="P118" s="2" t="s">
        <v>58</v>
      </c>
      <c r="Q118" s="4" t="s">
        <v>293</v>
      </c>
      <c r="R118" s="2"/>
    </row>
    <row r="119" spans="1:18" x14ac:dyDescent="0.2">
      <c r="A119" s="24">
        <v>120</v>
      </c>
      <c r="B119" s="24" t="s">
        <v>174</v>
      </c>
      <c r="C119">
        <v>41.05</v>
      </c>
      <c r="D119">
        <v>-112.25</v>
      </c>
      <c r="E119" t="s">
        <v>362</v>
      </c>
      <c r="F119" t="s">
        <v>367</v>
      </c>
      <c r="G119" t="s">
        <v>297</v>
      </c>
      <c r="H119" t="s">
        <v>297</v>
      </c>
      <c r="I119">
        <v>3</v>
      </c>
      <c r="J119">
        <v>3</v>
      </c>
      <c r="K119">
        <v>1</v>
      </c>
      <c r="L119">
        <f t="shared" si="2"/>
        <v>2</v>
      </c>
      <c r="M119">
        <f t="shared" si="3"/>
        <v>0.66666666666666663</v>
      </c>
      <c r="N119">
        <v>3</v>
      </c>
      <c r="O119">
        <v>2</v>
      </c>
      <c r="P119" s="2" t="s">
        <v>58</v>
      </c>
      <c r="Q119" s="4" t="s">
        <v>9</v>
      </c>
      <c r="R119" s="2"/>
    </row>
    <row r="120" spans="1:18" x14ac:dyDescent="0.2">
      <c r="A120" s="24">
        <v>121</v>
      </c>
      <c r="B120" s="24" t="s">
        <v>175</v>
      </c>
      <c r="C120">
        <v>40.79</v>
      </c>
      <c r="D120">
        <v>-111.87</v>
      </c>
      <c r="E120" t="s">
        <v>362</v>
      </c>
      <c r="F120" t="s">
        <v>367</v>
      </c>
      <c r="G120" t="s">
        <v>297</v>
      </c>
      <c r="H120" t="s">
        <v>297</v>
      </c>
      <c r="I120">
        <v>3</v>
      </c>
      <c r="J120">
        <v>3</v>
      </c>
      <c r="K120">
        <v>0</v>
      </c>
      <c r="L120">
        <f t="shared" si="2"/>
        <v>3</v>
      </c>
      <c r="M120">
        <f t="shared" si="3"/>
        <v>1</v>
      </c>
      <c r="N120">
        <v>3</v>
      </c>
      <c r="P120" s="2" t="s">
        <v>58</v>
      </c>
      <c r="Q120" s="4" t="s">
        <v>293</v>
      </c>
      <c r="R120" s="2"/>
    </row>
    <row r="121" spans="1:18" x14ac:dyDescent="0.2">
      <c r="A121" s="24">
        <v>122</v>
      </c>
      <c r="B121" s="24" t="s">
        <v>176</v>
      </c>
      <c r="C121">
        <v>38.83</v>
      </c>
      <c r="D121">
        <v>-112.05</v>
      </c>
      <c r="E121" t="s">
        <v>360</v>
      </c>
      <c r="F121" t="s">
        <v>367</v>
      </c>
      <c r="G121" t="s">
        <v>297</v>
      </c>
      <c r="H121" t="s">
        <v>297</v>
      </c>
      <c r="I121">
        <v>3</v>
      </c>
      <c r="J121">
        <v>3</v>
      </c>
      <c r="K121">
        <v>0</v>
      </c>
      <c r="L121">
        <f t="shared" si="2"/>
        <v>3</v>
      </c>
      <c r="M121">
        <f t="shared" si="3"/>
        <v>1</v>
      </c>
      <c r="N121">
        <v>3</v>
      </c>
      <c r="P121" s="2" t="s">
        <v>58</v>
      </c>
      <c r="Q121" s="4" t="s">
        <v>293</v>
      </c>
      <c r="R121" s="2"/>
    </row>
    <row r="122" spans="1:18" x14ac:dyDescent="0.2">
      <c r="A122" s="24">
        <v>123</v>
      </c>
      <c r="B122" s="24" t="s">
        <v>177</v>
      </c>
      <c r="C122">
        <v>41.44</v>
      </c>
      <c r="D122">
        <v>-111.08</v>
      </c>
      <c r="E122" t="s">
        <v>362</v>
      </c>
      <c r="F122" t="s">
        <v>367</v>
      </c>
      <c r="G122" t="s">
        <v>297</v>
      </c>
      <c r="H122" t="s">
        <v>297</v>
      </c>
      <c r="I122">
        <v>3</v>
      </c>
      <c r="J122">
        <v>3</v>
      </c>
      <c r="K122">
        <v>0</v>
      </c>
      <c r="L122">
        <f t="shared" si="2"/>
        <v>3</v>
      </c>
      <c r="M122">
        <f t="shared" si="3"/>
        <v>1</v>
      </c>
      <c r="N122">
        <v>3</v>
      </c>
      <c r="P122" s="2" t="s">
        <v>58</v>
      </c>
      <c r="Q122" s="4" t="s">
        <v>293</v>
      </c>
      <c r="R122" s="2"/>
    </row>
    <row r="123" spans="1:18" x14ac:dyDescent="0.2">
      <c r="A123" s="24">
        <v>124</v>
      </c>
      <c r="B123" s="24" t="s">
        <v>178</v>
      </c>
      <c r="C123">
        <v>41.81</v>
      </c>
      <c r="D123">
        <v>-111.25</v>
      </c>
      <c r="E123" t="s">
        <v>362</v>
      </c>
      <c r="F123" t="s">
        <v>367</v>
      </c>
      <c r="G123" t="s">
        <v>297</v>
      </c>
      <c r="H123" t="s">
        <v>297</v>
      </c>
      <c r="I123">
        <v>3</v>
      </c>
      <c r="J123">
        <v>3</v>
      </c>
      <c r="K123">
        <v>1</v>
      </c>
      <c r="L123">
        <f t="shared" si="2"/>
        <v>2</v>
      </c>
      <c r="M123">
        <f t="shared" si="3"/>
        <v>0.66666666666666663</v>
      </c>
      <c r="N123">
        <v>0</v>
      </c>
      <c r="O123">
        <v>0</v>
      </c>
      <c r="P123" s="2" t="s">
        <v>58</v>
      </c>
      <c r="Q123" s="4" t="s">
        <v>293</v>
      </c>
      <c r="R123" s="2"/>
    </row>
    <row r="124" spans="1:18" x14ac:dyDescent="0.2">
      <c r="A124" s="24">
        <v>125</v>
      </c>
      <c r="B124" s="24" t="s">
        <v>179</v>
      </c>
      <c r="C124">
        <v>41.78</v>
      </c>
      <c r="D124">
        <v>-110.2</v>
      </c>
      <c r="E124" t="s">
        <v>362</v>
      </c>
      <c r="F124" t="s">
        <v>367</v>
      </c>
      <c r="G124" t="s">
        <v>297</v>
      </c>
      <c r="H124" t="s">
        <v>297</v>
      </c>
      <c r="I124">
        <v>3</v>
      </c>
      <c r="J124">
        <v>2</v>
      </c>
      <c r="K124">
        <v>1</v>
      </c>
      <c r="L124">
        <f t="shared" si="2"/>
        <v>1</v>
      </c>
      <c r="M124">
        <f t="shared" si="3"/>
        <v>0.5</v>
      </c>
      <c r="N124">
        <v>1</v>
      </c>
      <c r="P124" s="2" t="s">
        <v>58</v>
      </c>
      <c r="Q124" s="4" t="s">
        <v>293</v>
      </c>
      <c r="R124" s="2"/>
    </row>
    <row r="125" spans="1:18" x14ac:dyDescent="0.2">
      <c r="A125" s="24">
        <v>126</v>
      </c>
      <c r="B125" s="24" t="s">
        <v>180</v>
      </c>
      <c r="C125">
        <v>41.44</v>
      </c>
      <c r="D125">
        <v>-110.11</v>
      </c>
      <c r="E125" t="s">
        <v>362</v>
      </c>
      <c r="F125" t="s">
        <v>367</v>
      </c>
      <c r="G125" t="s">
        <v>297</v>
      </c>
      <c r="H125" t="s">
        <v>297</v>
      </c>
      <c r="I125">
        <v>3</v>
      </c>
      <c r="J125">
        <v>3</v>
      </c>
      <c r="K125">
        <v>0</v>
      </c>
      <c r="L125">
        <f t="shared" si="2"/>
        <v>3</v>
      </c>
      <c r="M125">
        <f t="shared" si="3"/>
        <v>1</v>
      </c>
      <c r="N125">
        <v>3</v>
      </c>
      <c r="P125" s="2" t="s">
        <v>58</v>
      </c>
      <c r="Q125" s="4" t="s">
        <v>293</v>
      </c>
      <c r="R125" s="2"/>
    </row>
    <row r="126" spans="1:18" x14ac:dyDescent="0.2">
      <c r="A126" s="24">
        <v>127</v>
      </c>
      <c r="B126" s="24" t="s">
        <v>181</v>
      </c>
      <c r="C126">
        <v>40.86</v>
      </c>
      <c r="D126">
        <v>-114.22</v>
      </c>
      <c r="E126" t="s">
        <v>362</v>
      </c>
      <c r="F126" t="s">
        <v>367</v>
      </c>
      <c r="G126" t="s">
        <v>297</v>
      </c>
      <c r="H126" t="s">
        <v>297</v>
      </c>
      <c r="I126">
        <v>3</v>
      </c>
      <c r="J126">
        <v>3</v>
      </c>
      <c r="K126">
        <v>1</v>
      </c>
      <c r="L126">
        <f t="shared" si="2"/>
        <v>2</v>
      </c>
      <c r="M126">
        <f t="shared" si="3"/>
        <v>0.66666666666666663</v>
      </c>
      <c r="N126">
        <v>2</v>
      </c>
      <c r="P126" s="2" t="s">
        <v>58</v>
      </c>
      <c r="Q126" s="4" t="s">
        <v>293</v>
      </c>
      <c r="R126" s="2"/>
    </row>
    <row r="127" spans="1:18" x14ac:dyDescent="0.2">
      <c r="A127" s="24">
        <v>128</v>
      </c>
      <c r="B127" s="24" t="s">
        <v>182</v>
      </c>
      <c r="C127">
        <v>43.48</v>
      </c>
      <c r="D127">
        <v>-110.74</v>
      </c>
      <c r="E127" t="s">
        <v>362</v>
      </c>
      <c r="F127" t="s">
        <v>367</v>
      </c>
      <c r="G127" t="s">
        <v>297</v>
      </c>
      <c r="H127" t="s">
        <v>297</v>
      </c>
      <c r="I127">
        <v>3</v>
      </c>
      <c r="J127">
        <v>3</v>
      </c>
      <c r="K127">
        <v>0</v>
      </c>
      <c r="L127">
        <f t="shared" si="2"/>
        <v>3</v>
      </c>
      <c r="M127">
        <f t="shared" si="3"/>
        <v>1</v>
      </c>
      <c r="N127">
        <v>3</v>
      </c>
      <c r="P127" s="2" t="s">
        <v>58</v>
      </c>
      <c r="Q127" s="4" t="s">
        <v>293</v>
      </c>
      <c r="R127" s="2"/>
    </row>
    <row r="128" spans="1:18" x14ac:dyDescent="0.2">
      <c r="A128" s="24">
        <v>129</v>
      </c>
      <c r="B128" s="24" t="s">
        <v>183</v>
      </c>
      <c r="C128">
        <v>43.05</v>
      </c>
      <c r="D128">
        <v>-118.87</v>
      </c>
      <c r="E128" t="s">
        <v>362</v>
      </c>
      <c r="F128" t="s">
        <v>367</v>
      </c>
      <c r="G128" t="s">
        <v>297</v>
      </c>
      <c r="H128" t="s">
        <v>297</v>
      </c>
      <c r="I128">
        <v>3</v>
      </c>
      <c r="J128">
        <v>3</v>
      </c>
      <c r="K128">
        <v>1</v>
      </c>
      <c r="L128">
        <f t="shared" si="2"/>
        <v>2</v>
      </c>
      <c r="M128">
        <f t="shared" si="3"/>
        <v>0.66666666666666663</v>
      </c>
      <c r="N128">
        <v>2</v>
      </c>
      <c r="P128" s="2" t="s">
        <v>58</v>
      </c>
      <c r="Q128" s="4" t="s">
        <v>293</v>
      </c>
      <c r="R128" s="2"/>
    </row>
    <row r="129" spans="1:19" x14ac:dyDescent="0.2">
      <c r="A129" s="24">
        <v>130</v>
      </c>
      <c r="B129" s="24" t="s">
        <v>184</v>
      </c>
      <c r="C129">
        <v>42.81</v>
      </c>
      <c r="D129">
        <v>-118.96</v>
      </c>
      <c r="E129" t="s">
        <v>362</v>
      </c>
      <c r="F129" t="s">
        <v>367</v>
      </c>
      <c r="G129" t="s">
        <v>297</v>
      </c>
      <c r="H129" t="s">
        <v>297</v>
      </c>
      <c r="I129">
        <v>3</v>
      </c>
      <c r="J129">
        <v>3</v>
      </c>
      <c r="K129">
        <v>1</v>
      </c>
      <c r="L129">
        <f t="shared" si="2"/>
        <v>2</v>
      </c>
      <c r="M129">
        <f t="shared" si="3"/>
        <v>0.66666666666666663</v>
      </c>
      <c r="N129">
        <v>1</v>
      </c>
      <c r="P129" s="2" t="s">
        <v>58</v>
      </c>
      <c r="Q129" s="4" t="s">
        <v>293</v>
      </c>
      <c r="R129" s="2"/>
    </row>
    <row r="130" spans="1:19" x14ac:dyDescent="0.2">
      <c r="A130" s="24">
        <v>131</v>
      </c>
      <c r="B130" s="24" t="s">
        <v>185</v>
      </c>
      <c r="C130">
        <v>42.72</v>
      </c>
      <c r="D130">
        <v>-120.08</v>
      </c>
      <c r="E130" t="s">
        <v>362</v>
      </c>
      <c r="F130" t="s">
        <v>367</v>
      </c>
      <c r="G130" t="s">
        <v>297</v>
      </c>
      <c r="H130" t="s">
        <v>297</v>
      </c>
      <c r="I130">
        <v>3</v>
      </c>
      <c r="J130">
        <v>3</v>
      </c>
      <c r="K130">
        <v>0</v>
      </c>
      <c r="L130">
        <f t="shared" si="2"/>
        <v>3</v>
      </c>
      <c r="M130">
        <f t="shared" si="3"/>
        <v>1</v>
      </c>
      <c r="N130">
        <v>3</v>
      </c>
      <c r="P130" s="2" t="s">
        <v>58</v>
      </c>
      <c r="Q130" s="4" t="s">
        <v>293</v>
      </c>
      <c r="R130" s="2"/>
    </row>
    <row r="131" spans="1:19" x14ac:dyDescent="0.2">
      <c r="A131" s="24">
        <v>132</v>
      </c>
      <c r="B131" s="24" t="s">
        <v>186</v>
      </c>
      <c r="C131">
        <v>41.18</v>
      </c>
      <c r="D131">
        <v>-104.9</v>
      </c>
      <c r="E131" t="s">
        <v>362</v>
      </c>
      <c r="F131" t="s">
        <v>367</v>
      </c>
      <c r="G131" t="s">
        <v>297</v>
      </c>
      <c r="H131" t="s">
        <v>297</v>
      </c>
      <c r="I131">
        <v>3</v>
      </c>
      <c r="J131">
        <v>3</v>
      </c>
      <c r="K131">
        <v>0</v>
      </c>
      <c r="L131">
        <f t="shared" ref="L131:L194" si="4">J131-K131</f>
        <v>3</v>
      </c>
      <c r="M131">
        <f t="shared" ref="M131:M194" si="5">L131/J131</f>
        <v>1</v>
      </c>
      <c r="N131">
        <v>3</v>
      </c>
      <c r="P131" s="2" t="s">
        <v>58</v>
      </c>
      <c r="Q131" s="4" t="s">
        <v>293</v>
      </c>
      <c r="R131" s="2"/>
    </row>
    <row r="132" spans="1:19" x14ac:dyDescent="0.2">
      <c r="A132" s="24">
        <v>133</v>
      </c>
      <c r="B132" s="24" t="s">
        <v>187</v>
      </c>
      <c r="C132">
        <v>40.700000000000003</v>
      </c>
      <c r="D132">
        <v>-106.24</v>
      </c>
      <c r="E132" t="s">
        <v>362</v>
      </c>
      <c r="F132" t="s">
        <v>367</v>
      </c>
      <c r="G132" t="s">
        <v>297</v>
      </c>
      <c r="H132" t="s">
        <v>297</v>
      </c>
      <c r="I132">
        <v>3</v>
      </c>
      <c r="J132">
        <v>3</v>
      </c>
      <c r="K132">
        <v>0</v>
      </c>
      <c r="L132">
        <f t="shared" si="4"/>
        <v>3</v>
      </c>
      <c r="M132">
        <f t="shared" si="5"/>
        <v>1</v>
      </c>
      <c r="N132">
        <v>3</v>
      </c>
      <c r="P132" s="2" t="s">
        <v>58</v>
      </c>
      <c r="Q132" s="4" t="s">
        <v>293</v>
      </c>
      <c r="R132" s="2"/>
    </row>
    <row r="133" spans="1:19" x14ac:dyDescent="0.2">
      <c r="A133" s="24">
        <v>134</v>
      </c>
      <c r="B133" s="24" t="s">
        <v>188</v>
      </c>
      <c r="C133">
        <v>41.09</v>
      </c>
      <c r="D133">
        <v>-106.48</v>
      </c>
      <c r="E133" t="s">
        <v>362</v>
      </c>
      <c r="F133" t="s">
        <v>367</v>
      </c>
      <c r="G133" t="s">
        <v>297</v>
      </c>
      <c r="H133" t="s">
        <v>297</v>
      </c>
      <c r="I133">
        <v>3</v>
      </c>
      <c r="J133">
        <v>3</v>
      </c>
      <c r="K133">
        <v>0</v>
      </c>
      <c r="L133">
        <f t="shared" si="4"/>
        <v>3</v>
      </c>
      <c r="M133">
        <f t="shared" si="5"/>
        <v>1</v>
      </c>
      <c r="N133">
        <v>3</v>
      </c>
      <c r="P133" s="2" t="s">
        <v>58</v>
      </c>
      <c r="Q133" s="4" t="s">
        <v>9</v>
      </c>
      <c r="R133" s="2"/>
    </row>
    <row r="134" spans="1:19" x14ac:dyDescent="0.2">
      <c r="A134" s="24">
        <v>135</v>
      </c>
      <c r="B134" s="24" t="s">
        <v>189</v>
      </c>
      <c r="C134">
        <v>41.54</v>
      </c>
      <c r="D134">
        <v>-106.39</v>
      </c>
      <c r="E134" t="s">
        <v>362</v>
      </c>
      <c r="F134" t="s">
        <v>367</v>
      </c>
      <c r="G134" t="s">
        <v>297</v>
      </c>
      <c r="H134" t="s">
        <v>297</v>
      </c>
      <c r="I134">
        <v>3</v>
      </c>
      <c r="J134">
        <v>3</v>
      </c>
      <c r="K134">
        <v>0</v>
      </c>
      <c r="L134">
        <f t="shared" si="4"/>
        <v>3</v>
      </c>
      <c r="M134">
        <f t="shared" si="5"/>
        <v>1</v>
      </c>
      <c r="N134">
        <v>3</v>
      </c>
      <c r="P134" s="2" t="s">
        <v>58</v>
      </c>
      <c r="Q134" s="4" t="s">
        <v>293</v>
      </c>
      <c r="R134" s="2"/>
    </row>
    <row r="135" spans="1:19" x14ac:dyDescent="0.2">
      <c r="A135" s="24">
        <v>136</v>
      </c>
      <c r="B135" s="24" t="s">
        <v>190</v>
      </c>
      <c r="C135">
        <v>40.64</v>
      </c>
      <c r="D135">
        <v>-104.56</v>
      </c>
      <c r="E135" t="s">
        <v>362</v>
      </c>
      <c r="F135" t="s">
        <v>367</v>
      </c>
      <c r="G135" t="s">
        <v>297</v>
      </c>
      <c r="H135" t="s">
        <v>297</v>
      </c>
      <c r="I135">
        <v>3</v>
      </c>
      <c r="J135">
        <v>3</v>
      </c>
      <c r="K135">
        <v>0</v>
      </c>
      <c r="L135">
        <f t="shared" si="4"/>
        <v>3</v>
      </c>
      <c r="M135">
        <f t="shared" si="5"/>
        <v>1</v>
      </c>
      <c r="N135">
        <v>3</v>
      </c>
      <c r="P135" s="2" t="s">
        <v>58</v>
      </c>
      <c r="Q135" s="4" t="s">
        <v>293</v>
      </c>
      <c r="R135" s="2"/>
    </row>
    <row r="136" spans="1:19" x14ac:dyDescent="0.2">
      <c r="A136" s="24">
        <v>137</v>
      </c>
      <c r="B136" s="24" t="s">
        <v>191</v>
      </c>
      <c r="C136">
        <v>40.92</v>
      </c>
      <c r="D136">
        <v>-102.52</v>
      </c>
      <c r="E136" t="s">
        <v>362</v>
      </c>
      <c r="F136" t="s">
        <v>367</v>
      </c>
      <c r="G136" t="s">
        <v>297</v>
      </c>
      <c r="H136" t="s">
        <v>297</v>
      </c>
      <c r="I136">
        <v>3</v>
      </c>
      <c r="J136">
        <v>3</v>
      </c>
      <c r="K136">
        <v>1</v>
      </c>
      <c r="L136">
        <f t="shared" si="4"/>
        <v>2</v>
      </c>
      <c r="M136">
        <f t="shared" si="5"/>
        <v>0.66666666666666663</v>
      </c>
      <c r="N136">
        <v>2</v>
      </c>
      <c r="P136" s="2" t="s">
        <v>58</v>
      </c>
      <c r="Q136" s="4" t="s">
        <v>293</v>
      </c>
      <c r="R136" s="2"/>
    </row>
    <row r="137" spans="1:19" x14ac:dyDescent="0.2">
      <c r="A137" s="24">
        <v>138</v>
      </c>
      <c r="B137" s="24" t="s">
        <v>192</v>
      </c>
      <c r="C137">
        <v>38.840000000000003</v>
      </c>
      <c r="D137">
        <v>-117.57</v>
      </c>
      <c r="E137" t="s">
        <v>360</v>
      </c>
      <c r="F137" t="s">
        <v>367</v>
      </c>
      <c r="G137" t="s">
        <v>297</v>
      </c>
      <c r="H137" t="s">
        <v>297</v>
      </c>
      <c r="I137">
        <v>3</v>
      </c>
      <c r="J137">
        <v>3</v>
      </c>
      <c r="K137">
        <v>0</v>
      </c>
      <c r="L137">
        <f t="shared" si="4"/>
        <v>3</v>
      </c>
      <c r="M137">
        <f t="shared" si="5"/>
        <v>1</v>
      </c>
      <c r="N137">
        <v>3</v>
      </c>
      <c r="P137" s="2" t="s">
        <v>58</v>
      </c>
      <c r="Q137" s="4" t="s">
        <v>293</v>
      </c>
      <c r="R137" s="2"/>
    </row>
    <row r="138" spans="1:19" x14ac:dyDescent="0.2">
      <c r="A138" s="24">
        <v>139</v>
      </c>
      <c r="B138" s="24" t="s">
        <v>193</v>
      </c>
      <c r="C138">
        <v>35.229999999999997</v>
      </c>
      <c r="D138">
        <v>-111.62</v>
      </c>
      <c r="E138" t="s">
        <v>360</v>
      </c>
      <c r="F138" t="s">
        <v>367</v>
      </c>
      <c r="G138" t="s">
        <v>297</v>
      </c>
      <c r="H138" t="s">
        <v>297</v>
      </c>
      <c r="I138">
        <v>3</v>
      </c>
      <c r="J138">
        <v>3</v>
      </c>
      <c r="K138">
        <v>0</v>
      </c>
      <c r="L138">
        <f t="shared" si="4"/>
        <v>3</v>
      </c>
      <c r="M138">
        <f t="shared" si="5"/>
        <v>1</v>
      </c>
      <c r="N138">
        <v>3</v>
      </c>
      <c r="P138" s="2" t="s">
        <v>58</v>
      </c>
      <c r="Q138" s="4" t="s">
        <v>293</v>
      </c>
      <c r="R138" s="2"/>
    </row>
    <row r="139" spans="1:19" x14ac:dyDescent="0.2">
      <c r="A139" s="24">
        <v>140</v>
      </c>
      <c r="B139" s="24" t="s">
        <v>194</v>
      </c>
      <c r="C139">
        <v>39.549999999999997</v>
      </c>
      <c r="D139">
        <v>-119.58</v>
      </c>
      <c r="E139" t="s">
        <v>360</v>
      </c>
      <c r="F139" t="s">
        <v>367</v>
      </c>
      <c r="G139" t="s">
        <v>297</v>
      </c>
      <c r="H139" t="s">
        <v>297</v>
      </c>
      <c r="I139">
        <v>3</v>
      </c>
      <c r="J139">
        <v>3</v>
      </c>
      <c r="K139">
        <v>0</v>
      </c>
      <c r="L139">
        <f t="shared" si="4"/>
        <v>3</v>
      </c>
      <c r="M139">
        <f t="shared" si="5"/>
        <v>1</v>
      </c>
      <c r="N139">
        <v>3</v>
      </c>
      <c r="P139" s="2" t="s">
        <v>58</v>
      </c>
      <c r="Q139" s="4" t="s">
        <v>293</v>
      </c>
      <c r="R139" s="2"/>
    </row>
    <row r="140" spans="1:19" x14ac:dyDescent="0.2">
      <c r="A140" s="24">
        <v>141</v>
      </c>
      <c r="B140" s="24" t="s">
        <v>195</v>
      </c>
      <c r="C140">
        <v>39.950000000000003</v>
      </c>
      <c r="D140">
        <v>-118.76</v>
      </c>
      <c r="E140" t="s">
        <v>360</v>
      </c>
      <c r="F140" t="s">
        <v>367</v>
      </c>
      <c r="G140" t="s">
        <v>297</v>
      </c>
      <c r="H140" t="s">
        <v>297</v>
      </c>
      <c r="I140">
        <v>3</v>
      </c>
      <c r="J140">
        <v>3</v>
      </c>
      <c r="K140">
        <v>0</v>
      </c>
      <c r="L140">
        <f t="shared" si="4"/>
        <v>3</v>
      </c>
      <c r="M140">
        <f t="shared" si="5"/>
        <v>1</v>
      </c>
      <c r="N140">
        <v>3</v>
      </c>
      <c r="O140">
        <v>2</v>
      </c>
      <c r="P140" s="2" t="s">
        <v>58</v>
      </c>
      <c r="Q140" s="4" t="s">
        <v>293</v>
      </c>
      <c r="R140" s="2"/>
      <c r="S140" t="s">
        <v>387</v>
      </c>
    </row>
    <row r="141" spans="1:19" x14ac:dyDescent="0.2">
      <c r="A141" s="24">
        <v>142</v>
      </c>
      <c r="B141" s="24" t="s">
        <v>196</v>
      </c>
      <c r="C141">
        <v>41.31</v>
      </c>
      <c r="D141">
        <v>-117.63</v>
      </c>
      <c r="E141" t="s">
        <v>362</v>
      </c>
      <c r="F141" t="s">
        <v>367</v>
      </c>
      <c r="G141" t="s">
        <v>297</v>
      </c>
      <c r="H141" t="s">
        <v>297</v>
      </c>
      <c r="I141">
        <v>3</v>
      </c>
      <c r="J141">
        <v>3</v>
      </c>
      <c r="K141">
        <v>0</v>
      </c>
      <c r="L141">
        <f t="shared" si="4"/>
        <v>3</v>
      </c>
      <c r="M141">
        <f t="shared" si="5"/>
        <v>1</v>
      </c>
      <c r="N141">
        <v>3</v>
      </c>
      <c r="P141" s="2" t="s">
        <v>58</v>
      </c>
      <c r="Q141" s="4" t="s">
        <v>293</v>
      </c>
      <c r="R141" s="2"/>
    </row>
    <row r="142" spans="1:19" x14ac:dyDescent="0.2">
      <c r="A142" s="24">
        <v>143</v>
      </c>
      <c r="B142" s="24" t="s">
        <v>197</v>
      </c>
      <c r="C142">
        <v>41.54</v>
      </c>
      <c r="D142">
        <v>-117.75</v>
      </c>
      <c r="E142" t="s">
        <v>362</v>
      </c>
      <c r="F142" t="s">
        <v>367</v>
      </c>
      <c r="G142" t="s">
        <v>297</v>
      </c>
      <c r="H142" t="s">
        <v>297</v>
      </c>
      <c r="I142">
        <v>3</v>
      </c>
      <c r="J142">
        <v>3</v>
      </c>
      <c r="K142">
        <v>0</v>
      </c>
      <c r="L142">
        <f t="shared" si="4"/>
        <v>3</v>
      </c>
      <c r="M142">
        <f t="shared" si="5"/>
        <v>1</v>
      </c>
      <c r="N142">
        <v>3</v>
      </c>
      <c r="P142" s="2" t="s">
        <v>58</v>
      </c>
      <c r="Q142" s="4" t="s">
        <v>293</v>
      </c>
      <c r="R142" s="2"/>
    </row>
    <row r="143" spans="1:19" x14ac:dyDescent="0.2">
      <c r="A143" s="24">
        <v>144</v>
      </c>
      <c r="B143" s="24" t="s">
        <v>198</v>
      </c>
      <c r="C143">
        <v>41.54</v>
      </c>
      <c r="D143">
        <v>-117.78</v>
      </c>
      <c r="E143" t="s">
        <v>362</v>
      </c>
      <c r="F143" t="s">
        <v>367</v>
      </c>
      <c r="G143" t="s">
        <v>297</v>
      </c>
      <c r="H143" t="s">
        <v>297</v>
      </c>
      <c r="I143">
        <v>3</v>
      </c>
      <c r="J143">
        <v>3</v>
      </c>
      <c r="K143">
        <v>0</v>
      </c>
      <c r="L143">
        <f t="shared" si="4"/>
        <v>3</v>
      </c>
      <c r="M143">
        <f t="shared" si="5"/>
        <v>1</v>
      </c>
      <c r="N143">
        <v>3</v>
      </c>
      <c r="P143" s="2" t="s">
        <v>58</v>
      </c>
      <c r="Q143" s="4" t="s">
        <v>293</v>
      </c>
      <c r="R143" s="2"/>
    </row>
    <row r="144" spans="1:19" x14ac:dyDescent="0.2">
      <c r="A144" s="24">
        <v>145</v>
      </c>
      <c r="B144" s="24" t="s">
        <v>199</v>
      </c>
      <c r="C144">
        <v>43.94</v>
      </c>
      <c r="D144">
        <v>-116.19</v>
      </c>
      <c r="E144" t="s">
        <v>362</v>
      </c>
      <c r="F144" t="s">
        <v>367</v>
      </c>
      <c r="G144" t="s">
        <v>297</v>
      </c>
      <c r="H144" t="s">
        <v>297</v>
      </c>
      <c r="I144">
        <v>3</v>
      </c>
      <c r="J144">
        <v>3</v>
      </c>
      <c r="K144">
        <v>0</v>
      </c>
      <c r="L144">
        <f t="shared" si="4"/>
        <v>3</v>
      </c>
      <c r="M144">
        <f t="shared" si="5"/>
        <v>1</v>
      </c>
      <c r="N144">
        <v>1</v>
      </c>
      <c r="P144" s="2" t="s">
        <v>58</v>
      </c>
      <c r="Q144" s="4" t="s">
        <v>293</v>
      </c>
      <c r="R144" s="2"/>
    </row>
    <row r="145" spans="1:18" x14ac:dyDescent="0.2">
      <c r="A145" s="24">
        <v>146</v>
      </c>
      <c r="B145" s="24" t="s">
        <v>200</v>
      </c>
      <c r="C145">
        <v>42.24</v>
      </c>
      <c r="D145">
        <v>-114.57</v>
      </c>
      <c r="E145" t="s">
        <v>362</v>
      </c>
      <c r="F145" t="s">
        <v>367</v>
      </c>
      <c r="G145" t="s">
        <v>297</v>
      </c>
      <c r="H145" t="s">
        <v>297</v>
      </c>
      <c r="I145">
        <v>3</v>
      </c>
      <c r="J145">
        <v>3</v>
      </c>
      <c r="K145">
        <v>0</v>
      </c>
      <c r="L145">
        <f t="shared" si="4"/>
        <v>3</v>
      </c>
      <c r="M145">
        <f t="shared" si="5"/>
        <v>1</v>
      </c>
      <c r="N145">
        <v>3</v>
      </c>
      <c r="P145" s="2" t="s">
        <v>58</v>
      </c>
      <c r="Q145" s="4" t="s">
        <v>293</v>
      </c>
      <c r="R145" s="2"/>
    </row>
    <row r="146" spans="1:18" x14ac:dyDescent="0.2">
      <c r="A146" s="24">
        <v>147</v>
      </c>
      <c r="B146" s="24" t="s">
        <v>201</v>
      </c>
      <c r="C146">
        <v>40.659999999999997</v>
      </c>
      <c r="D146">
        <v>-116.73</v>
      </c>
      <c r="E146" t="s">
        <v>362</v>
      </c>
      <c r="F146" t="s">
        <v>367</v>
      </c>
      <c r="G146" t="s">
        <v>297</v>
      </c>
      <c r="H146" t="s">
        <v>297</v>
      </c>
      <c r="I146">
        <v>3</v>
      </c>
      <c r="J146">
        <v>3</v>
      </c>
      <c r="K146">
        <v>0</v>
      </c>
      <c r="L146">
        <f t="shared" si="4"/>
        <v>3</v>
      </c>
      <c r="M146">
        <f t="shared" si="5"/>
        <v>1</v>
      </c>
      <c r="N146">
        <v>3</v>
      </c>
      <c r="P146" s="2" t="s">
        <v>58</v>
      </c>
      <c r="Q146" s="4" t="s">
        <v>293</v>
      </c>
      <c r="R146" s="2"/>
    </row>
    <row r="147" spans="1:18" x14ac:dyDescent="0.2">
      <c r="A147" s="24">
        <v>148</v>
      </c>
      <c r="B147" s="24" t="s">
        <v>202</v>
      </c>
      <c r="C147">
        <v>43.7</v>
      </c>
      <c r="D147">
        <v>-117.33</v>
      </c>
      <c r="E147" t="s">
        <v>362</v>
      </c>
      <c r="F147" t="s">
        <v>367</v>
      </c>
      <c r="G147" t="s">
        <v>297</v>
      </c>
      <c r="H147" t="s">
        <v>297</v>
      </c>
      <c r="I147">
        <v>3</v>
      </c>
      <c r="J147">
        <v>3</v>
      </c>
      <c r="K147">
        <v>0</v>
      </c>
      <c r="L147">
        <f t="shared" si="4"/>
        <v>3</v>
      </c>
      <c r="M147">
        <f t="shared" si="5"/>
        <v>1</v>
      </c>
      <c r="N147">
        <v>3</v>
      </c>
      <c r="P147" s="2" t="s">
        <v>58</v>
      </c>
      <c r="Q147" s="4" t="s">
        <v>293</v>
      </c>
      <c r="R147" s="2"/>
    </row>
    <row r="148" spans="1:18" x14ac:dyDescent="0.2">
      <c r="A148" s="24">
        <v>149</v>
      </c>
      <c r="B148" s="24" t="s">
        <v>203</v>
      </c>
      <c r="C148">
        <v>42.27</v>
      </c>
      <c r="D148">
        <v>-118.71</v>
      </c>
      <c r="E148" t="s">
        <v>362</v>
      </c>
      <c r="F148" t="s">
        <v>367</v>
      </c>
      <c r="G148" t="s">
        <v>297</v>
      </c>
      <c r="H148" t="s">
        <v>297</v>
      </c>
      <c r="I148">
        <v>3</v>
      </c>
      <c r="J148">
        <v>3</v>
      </c>
      <c r="K148">
        <v>0</v>
      </c>
      <c r="L148">
        <f t="shared" si="4"/>
        <v>3</v>
      </c>
      <c r="M148">
        <f t="shared" si="5"/>
        <v>1</v>
      </c>
      <c r="N148">
        <v>3</v>
      </c>
      <c r="P148" s="2" t="s">
        <v>58</v>
      </c>
      <c r="Q148" s="4" t="s">
        <v>293</v>
      </c>
      <c r="R148" s="2"/>
    </row>
    <row r="149" spans="1:18" x14ac:dyDescent="0.2">
      <c r="A149" s="24">
        <v>150</v>
      </c>
      <c r="B149" s="24" t="s">
        <v>204</v>
      </c>
      <c r="C149">
        <v>43.47</v>
      </c>
      <c r="D149">
        <v>-119.68</v>
      </c>
      <c r="E149" t="s">
        <v>362</v>
      </c>
      <c r="F149" t="s">
        <v>367</v>
      </c>
      <c r="G149" t="s">
        <v>297</v>
      </c>
      <c r="H149" t="s">
        <v>297</v>
      </c>
      <c r="I149">
        <v>3</v>
      </c>
      <c r="J149">
        <v>3</v>
      </c>
      <c r="K149">
        <v>0</v>
      </c>
      <c r="L149">
        <f t="shared" si="4"/>
        <v>3</v>
      </c>
      <c r="M149">
        <f t="shared" si="5"/>
        <v>1</v>
      </c>
      <c r="N149">
        <v>3</v>
      </c>
      <c r="P149" s="2" t="s">
        <v>58</v>
      </c>
      <c r="Q149" s="4" t="s">
        <v>293</v>
      </c>
      <c r="R149" s="2"/>
    </row>
    <row r="150" spans="1:18" x14ac:dyDescent="0.2">
      <c r="A150" s="24">
        <v>151</v>
      </c>
      <c r="B150" s="24" t="s">
        <v>205</v>
      </c>
      <c r="C150">
        <v>42.77</v>
      </c>
      <c r="D150">
        <v>-118.74</v>
      </c>
      <c r="E150" t="s">
        <v>362</v>
      </c>
      <c r="F150" t="s">
        <v>367</v>
      </c>
      <c r="G150" t="s">
        <v>297</v>
      </c>
      <c r="H150" t="s">
        <v>297</v>
      </c>
      <c r="I150">
        <v>3</v>
      </c>
      <c r="J150">
        <v>3</v>
      </c>
      <c r="K150">
        <v>1</v>
      </c>
      <c r="L150">
        <f t="shared" si="4"/>
        <v>2</v>
      </c>
      <c r="M150">
        <f t="shared" si="5"/>
        <v>0.66666666666666663</v>
      </c>
      <c r="N150">
        <v>2</v>
      </c>
      <c r="P150" s="2" t="s">
        <v>58</v>
      </c>
      <c r="Q150" s="4" t="s">
        <v>293</v>
      </c>
      <c r="R150" s="2"/>
    </row>
    <row r="151" spans="1:18" x14ac:dyDescent="0.2">
      <c r="A151" s="24">
        <v>153</v>
      </c>
      <c r="B151" s="24" t="s">
        <v>206</v>
      </c>
      <c r="C151">
        <v>46.381450000000001</v>
      </c>
      <c r="D151">
        <v>-119.430272</v>
      </c>
      <c r="E151" t="s">
        <v>362</v>
      </c>
      <c r="F151" t="s">
        <v>367</v>
      </c>
      <c r="G151" t="s">
        <v>297</v>
      </c>
      <c r="H151" t="s">
        <v>297</v>
      </c>
      <c r="I151">
        <v>3</v>
      </c>
      <c r="J151">
        <v>3</v>
      </c>
      <c r="K151">
        <v>0</v>
      </c>
      <c r="L151">
        <f t="shared" si="4"/>
        <v>3</v>
      </c>
      <c r="M151">
        <f t="shared" si="5"/>
        <v>1</v>
      </c>
      <c r="N151">
        <v>3</v>
      </c>
      <c r="P151" s="2" t="s">
        <v>58</v>
      </c>
      <c r="Q151" s="4" t="s">
        <v>293</v>
      </c>
      <c r="R151" s="2"/>
    </row>
    <row r="152" spans="1:18" x14ac:dyDescent="0.2">
      <c r="A152" s="24">
        <v>154</v>
      </c>
      <c r="B152" s="24" t="s">
        <v>207</v>
      </c>
      <c r="C152">
        <v>46.250450000000001</v>
      </c>
      <c r="D152">
        <v>-119.53334</v>
      </c>
      <c r="E152" t="s">
        <v>362</v>
      </c>
      <c r="F152" t="s">
        <v>367</v>
      </c>
      <c r="G152" t="s">
        <v>297</v>
      </c>
      <c r="H152" t="s">
        <v>297</v>
      </c>
      <c r="I152">
        <v>3</v>
      </c>
      <c r="J152">
        <v>3</v>
      </c>
      <c r="K152">
        <v>0</v>
      </c>
      <c r="L152">
        <f t="shared" si="4"/>
        <v>3</v>
      </c>
      <c r="M152">
        <f t="shared" si="5"/>
        <v>1</v>
      </c>
      <c r="N152">
        <v>3</v>
      </c>
      <c r="P152" s="2" t="s">
        <v>58</v>
      </c>
      <c r="Q152" s="4" t="s">
        <v>293</v>
      </c>
      <c r="R152" s="2"/>
    </row>
    <row r="153" spans="1:18" x14ac:dyDescent="0.2">
      <c r="A153" s="24">
        <v>155</v>
      </c>
      <c r="B153" s="24" t="s">
        <v>208</v>
      </c>
      <c r="C153">
        <v>45.966299999999997</v>
      </c>
      <c r="D153">
        <v>-120.36709999999999</v>
      </c>
      <c r="E153" t="s">
        <v>362</v>
      </c>
      <c r="F153" t="s">
        <v>367</v>
      </c>
      <c r="G153" t="s">
        <v>297</v>
      </c>
      <c r="H153" t="s">
        <v>297</v>
      </c>
      <c r="I153">
        <v>3</v>
      </c>
      <c r="J153">
        <v>3</v>
      </c>
      <c r="K153">
        <v>1</v>
      </c>
      <c r="L153">
        <f t="shared" si="4"/>
        <v>2</v>
      </c>
      <c r="M153">
        <f t="shared" si="5"/>
        <v>0.66666666666666663</v>
      </c>
      <c r="N153">
        <v>2</v>
      </c>
      <c r="P153" s="2" t="s">
        <v>58</v>
      </c>
      <c r="Q153" s="4" t="s">
        <v>293</v>
      </c>
      <c r="R153" s="2"/>
    </row>
    <row r="154" spans="1:18" x14ac:dyDescent="0.2">
      <c r="A154" s="24">
        <v>156</v>
      </c>
      <c r="B154" s="24" t="s">
        <v>209</v>
      </c>
      <c r="C154">
        <v>46.735979999999998</v>
      </c>
      <c r="D154">
        <v>-120.82735</v>
      </c>
      <c r="E154" t="s">
        <v>362</v>
      </c>
      <c r="F154" t="s">
        <v>367</v>
      </c>
      <c r="G154" t="s">
        <v>297</v>
      </c>
      <c r="H154" t="s">
        <v>297</v>
      </c>
      <c r="I154">
        <v>3</v>
      </c>
      <c r="J154">
        <v>3</v>
      </c>
      <c r="K154">
        <v>0</v>
      </c>
      <c r="L154">
        <f t="shared" si="4"/>
        <v>3</v>
      </c>
      <c r="M154">
        <f t="shared" si="5"/>
        <v>1</v>
      </c>
      <c r="N154">
        <v>3</v>
      </c>
      <c r="P154" s="2" t="s">
        <v>58</v>
      </c>
      <c r="Q154" s="4" t="s">
        <v>293</v>
      </c>
      <c r="R154" s="2"/>
    </row>
    <row r="155" spans="1:18" x14ac:dyDescent="0.2">
      <c r="A155" s="24">
        <v>157</v>
      </c>
      <c r="B155" s="24" t="s">
        <v>210</v>
      </c>
      <c r="C155">
        <v>42.9</v>
      </c>
      <c r="D155">
        <v>-107.71</v>
      </c>
      <c r="E155" t="s">
        <v>362</v>
      </c>
      <c r="F155" t="s">
        <v>367</v>
      </c>
      <c r="G155" t="s">
        <v>297</v>
      </c>
      <c r="H155" t="s">
        <v>297</v>
      </c>
      <c r="I155">
        <v>3</v>
      </c>
      <c r="J155">
        <v>3</v>
      </c>
      <c r="K155">
        <v>0</v>
      </c>
      <c r="L155">
        <f t="shared" si="4"/>
        <v>3</v>
      </c>
      <c r="M155">
        <f t="shared" si="5"/>
        <v>1</v>
      </c>
      <c r="N155">
        <v>3</v>
      </c>
      <c r="P155" s="2" t="s">
        <v>58</v>
      </c>
      <c r="Q155" s="4" t="s">
        <v>293</v>
      </c>
      <c r="R155" s="2"/>
    </row>
    <row r="156" spans="1:18" x14ac:dyDescent="0.2">
      <c r="A156" s="24">
        <v>158</v>
      </c>
      <c r="B156" s="24" t="s">
        <v>211</v>
      </c>
      <c r="C156">
        <v>38.47</v>
      </c>
      <c r="D156">
        <v>-119.49</v>
      </c>
      <c r="E156" t="s">
        <v>360</v>
      </c>
      <c r="F156" t="s">
        <v>367</v>
      </c>
      <c r="G156" t="s">
        <v>297</v>
      </c>
      <c r="H156" t="s">
        <v>297</v>
      </c>
      <c r="I156">
        <v>3</v>
      </c>
      <c r="J156">
        <v>3</v>
      </c>
      <c r="K156">
        <v>1</v>
      </c>
      <c r="L156">
        <f t="shared" si="4"/>
        <v>2</v>
      </c>
      <c r="M156">
        <f t="shared" si="5"/>
        <v>0.66666666666666663</v>
      </c>
      <c r="N156">
        <v>2</v>
      </c>
      <c r="P156" s="2" t="s">
        <v>58</v>
      </c>
      <c r="Q156" s="4" t="s">
        <v>293</v>
      </c>
      <c r="R156" s="2"/>
    </row>
    <row r="157" spans="1:18" x14ac:dyDescent="0.2">
      <c r="A157" s="24">
        <v>159</v>
      </c>
      <c r="B157" s="24" t="s">
        <v>212</v>
      </c>
      <c r="C157">
        <v>38.58</v>
      </c>
      <c r="D157">
        <v>-118.83</v>
      </c>
      <c r="E157" t="s">
        <v>360</v>
      </c>
      <c r="F157" t="s">
        <v>367</v>
      </c>
      <c r="G157" t="s">
        <v>297</v>
      </c>
      <c r="H157" t="s">
        <v>297</v>
      </c>
      <c r="I157">
        <v>3</v>
      </c>
      <c r="J157">
        <v>2</v>
      </c>
      <c r="K157">
        <v>1</v>
      </c>
      <c r="L157">
        <f t="shared" si="4"/>
        <v>1</v>
      </c>
      <c r="M157">
        <f t="shared" si="5"/>
        <v>0.5</v>
      </c>
      <c r="N157">
        <v>1</v>
      </c>
      <c r="P157" s="2" t="s">
        <v>58</v>
      </c>
      <c r="Q157" s="4" t="s">
        <v>293</v>
      </c>
      <c r="R157" s="2"/>
    </row>
    <row r="158" spans="1:18" x14ac:dyDescent="0.2">
      <c r="A158" s="24">
        <v>160</v>
      </c>
      <c r="B158" s="24" t="s">
        <v>213</v>
      </c>
      <c r="C158">
        <v>39.119999999999997</v>
      </c>
      <c r="D158">
        <v>-117.27</v>
      </c>
      <c r="E158" t="s">
        <v>360</v>
      </c>
      <c r="F158" t="s">
        <v>367</v>
      </c>
      <c r="G158" t="s">
        <v>297</v>
      </c>
      <c r="H158" t="s">
        <v>297</v>
      </c>
      <c r="I158">
        <v>3</v>
      </c>
      <c r="J158">
        <v>3</v>
      </c>
      <c r="K158">
        <v>0</v>
      </c>
      <c r="L158">
        <f t="shared" si="4"/>
        <v>3</v>
      </c>
      <c r="M158">
        <f t="shared" si="5"/>
        <v>1</v>
      </c>
      <c r="N158">
        <v>3</v>
      </c>
      <c r="P158" s="2" t="s">
        <v>58</v>
      </c>
      <c r="Q158" s="4" t="s">
        <v>293</v>
      </c>
      <c r="R158" s="2"/>
    </row>
    <row r="159" spans="1:18" x14ac:dyDescent="0.2">
      <c r="A159" s="24">
        <v>161</v>
      </c>
      <c r="B159" s="24" t="s">
        <v>214</v>
      </c>
      <c r="C159">
        <v>39.17</v>
      </c>
      <c r="D159">
        <v>-117.44</v>
      </c>
      <c r="E159" t="s">
        <v>360</v>
      </c>
      <c r="F159" t="s">
        <v>367</v>
      </c>
      <c r="G159" t="s">
        <v>297</v>
      </c>
      <c r="H159" t="s">
        <v>297</v>
      </c>
      <c r="I159">
        <v>3</v>
      </c>
      <c r="J159">
        <v>3</v>
      </c>
      <c r="K159">
        <v>0</v>
      </c>
      <c r="L159">
        <f t="shared" si="4"/>
        <v>3</v>
      </c>
      <c r="M159">
        <f t="shared" si="5"/>
        <v>1</v>
      </c>
      <c r="N159">
        <v>3</v>
      </c>
      <c r="P159" s="2" t="s">
        <v>58</v>
      </c>
      <c r="Q159" s="4" t="s">
        <v>293</v>
      </c>
      <c r="R159" s="2"/>
    </row>
    <row r="160" spans="1:18" x14ac:dyDescent="0.2">
      <c r="A160" s="24">
        <v>162</v>
      </c>
      <c r="B160" s="24" t="s">
        <v>215</v>
      </c>
      <c r="C160">
        <v>41.17</v>
      </c>
      <c r="D160">
        <v>-120.5</v>
      </c>
      <c r="E160" t="s">
        <v>362</v>
      </c>
      <c r="F160" t="s">
        <v>367</v>
      </c>
      <c r="G160" t="s">
        <v>297</v>
      </c>
      <c r="H160" t="s">
        <v>297</v>
      </c>
      <c r="I160">
        <v>3</v>
      </c>
      <c r="J160">
        <v>3</v>
      </c>
      <c r="K160">
        <v>1</v>
      </c>
      <c r="L160">
        <f t="shared" si="4"/>
        <v>2</v>
      </c>
      <c r="M160">
        <f t="shared" si="5"/>
        <v>0.66666666666666663</v>
      </c>
      <c r="N160">
        <v>2</v>
      </c>
      <c r="P160" s="2" t="s">
        <v>58</v>
      </c>
      <c r="Q160" s="4" t="s">
        <v>293</v>
      </c>
      <c r="R160" s="2"/>
    </row>
    <row r="161" spans="1:18" x14ac:dyDescent="0.2">
      <c r="A161" s="24">
        <v>163</v>
      </c>
      <c r="B161" s="24" t="s">
        <v>216</v>
      </c>
      <c r="C161">
        <v>40.43</v>
      </c>
      <c r="D161">
        <v>-120.67</v>
      </c>
      <c r="E161" t="s">
        <v>362</v>
      </c>
      <c r="F161" t="s">
        <v>367</v>
      </c>
      <c r="G161" t="s">
        <v>297</v>
      </c>
      <c r="H161" t="s">
        <v>297</v>
      </c>
      <c r="I161">
        <v>3</v>
      </c>
      <c r="J161">
        <v>3</v>
      </c>
      <c r="K161">
        <v>0</v>
      </c>
      <c r="L161">
        <f t="shared" si="4"/>
        <v>3</v>
      </c>
      <c r="M161">
        <f t="shared" si="5"/>
        <v>1</v>
      </c>
      <c r="N161">
        <v>3</v>
      </c>
      <c r="P161" s="2" t="s">
        <v>58</v>
      </c>
      <c r="Q161" s="4" t="s">
        <v>293</v>
      </c>
      <c r="R161" s="2"/>
    </row>
    <row r="162" spans="1:18" x14ac:dyDescent="0.2">
      <c r="A162" s="24">
        <v>164</v>
      </c>
      <c r="B162" s="25" t="s">
        <v>217</v>
      </c>
      <c r="C162">
        <v>41.71</v>
      </c>
      <c r="D162">
        <v>-120.28</v>
      </c>
      <c r="E162" t="s">
        <v>362</v>
      </c>
      <c r="F162" t="s">
        <v>367</v>
      </c>
      <c r="G162" t="s">
        <v>297</v>
      </c>
      <c r="H162" t="s">
        <v>297</v>
      </c>
      <c r="I162">
        <v>3</v>
      </c>
      <c r="J162">
        <v>3</v>
      </c>
      <c r="K162">
        <v>0</v>
      </c>
      <c r="L162">
        <f t="shared" si="4"/>
        <v>3</v>
      </c>
      <c r="M162">
        <f t="shared" si="5"/>
        <v>1</v>
      </c>
      <c r="N162">
        <v>3</v>
      </c>
      <c r="P162" s="2" t="s">
        <v>58</v>
      </c>
      <c r="Q162" s="4" t="s">
        <v>293</v>
      </c>
      <c r="R162" s="2"/>
    </row>
    <row r="163" spans="1:18" x14ac:dyDescent="0.2">
      <c r="A163" s="24">
        <v>165</v>
      </c>
      <c r="B163" s="24" t="s">
        <v>218</v>
      </c>
      <c r="C163">
        <v>41.61</v>
      </c>
      <c r="D163">
        <v>-111.57</v>
      </c>
      <c r="E163" t="s">
        <v>362</v>
      </c>
      <c r="F163" t="s">
        <v>367</v>
      </c>
      <c r="G163" t="s">
        <v>297</v>
      </c>
      <c r="H163" t="s">
        <v>297</v>
      </c>
      <c r="I163">
        <v>3</v>
      </c>
      <c r="J163">
        <v>3</v>
      </c>
      <c r="K163">
        <v>0</v>
      </c>
      <c r="L163">
        <f t="shared" si="4"/>
        <v>3</v>
      </c>
      <c r="M163">
        <f t="shared" si="5"/>
        <v>1</v>
      </c>
      <c r="N163">
        <v>3</v>
      </c>
      <c r="P163" s="2" t="s">
        <v>58</v>
      </c>
      <c r="Q163" s="4" t="s">
        <v>293</v>
      </c>
      <c r="R163" s="2"/>
    </row>
    <row r="164" spans="1:18" x14ac:dyDescent="0.2">
      <c r="A164" s="24">
        <v>166</v>
      </c>
      <c r="B164" s="24" t="s">
        <v>219</v>
      </c>
      <c r="C164">
        <v>38.670099999999998</v>
      </c>
      <c r="D164">
        <v>-108.32859999999999</v>
      </c>
      <c r="E164" t="s">
        <v>360</v>
      </c>
      <c r="F164" t="s">
        <v>367</v>
      </c>
      <c r="G164" t="s">
        <v>297</v>
      </c>
      <c r="H164" t="s">
        <v>297</v>
      </c>
      <c r="I164">
        <v>3</v>
      </c>
      <c r="J164">
        <v>3</v>
      </c>
      <c r="K164">
        <v>1</v>
      </c>
      <c r="L164">
        <f t="shared" si="4"/>
        <v>2</v>
      </c>
      <c r="M164">
        <f t="shared" si="5"/>
        <v>0.66666666666666663</v>
      </c>
      <c r="N164">
        <v>2</v>
      </c>
      <c r="P164" s="2" t="s">
        <v>58</v>
      </c>
      <c r="Q164" s="4" t="s">
        <v>293</v>
      </c>
      <c r="R164" s="2"/>
    </row>
    <row r="165" spans="1:18" x14ac:dyDescent="0.2">
      <c r="A165" s="24">
        <v>167</v>
      </c>
      <c r="B165" s="24" t="s">
        <v>220</v>
      </c>
      <c r="C165">
        <v>39.547443999999999</v>
      </c>
      <c r="D165">
        <v>-105.10211099999999</v>
      </c>
      <c r="E165" t="s">
        <v>360</v>
      </c>
      <c r="F165" t="s">
        <v>367</v>
      </c>
      <c r="G165" t="s">
        <v>297</v>
      </c>
      <c r="H165" t="s">
        <v>297</v>
      </c>
      <c r="I165">
        <v>3</v>
      </c>
      <c r="J165">
        <v>3</v>
      </c>
      <c r="K165">
        <v>0</v>
      </c>
      <c r="L165">
        <f t="shared" si="4"/>
        <v>3</v>
      </c>
      <c r="M165">
        <f t="shared" si="5"/>
        <v>1</v>
      </c>
      <c r="N165">
        <v>3</v>
      </c>
      <c r="P165" s="2" t="s">
        <v>58</v>
      </c>
      <c r="Q165" s="4" t="s">
        <v>293</v>
      </c>
      <c r="R165" s="2"/>
    </row>
    <row r="166" spans="1:18" x14ac:dyDescent="0.2">
      <c r="A166" s="24">
        <v>168</v>
      </c>
      <c r="B166" s="24" t="s">
        <v>221</v>
      </c>
      <c r="C166">
        <v>43.65</v>
      </c>
      <c r="D166">
        <v>-102.97</v>
      </c>
      <c r="E166" t="s">
        <v>362</v>
      </c>
      <c r="F166" t="s">
        <v>367</v>
      </c>
      <c r="G166" t="s">
        <v>297</v>
      </c>
      <c r="H166" t="s">
        <v>297</v>
      </c>
      <c r="I166">
        <v>3</v>
      </c>
      <c r="J166">
        <v>3</v>
      </c>
      <c r="K166">
        <v>0</v>
      </c>
      <c r="L166">
        <f t="shared" si="4"/>
        <v>3</v>
      </c>
      <c r="M166">
        <f t="shared" si="5"/>
        <v>1</v>
      </c>
      <c r="N166">
        <v>3</v>
      </c>
      <c r="P166" s="2" t="s">
        <v>58</v>
      </c>
      <c r="Q166" s="4" t="s">
        <v>293</v>
      </c>
      <c r="R166" s="2"/>
    </row>
    <row r="167" spans="1:18" x14ac:dyDescent="0.2">
      <c r="A167" s="24">
        <v>169</v>
      </c>
      <c r="B167" s="24" t="s">
        <v>222</v>
      </c>
      <c r="C167">
        <v>43.71</v>
      </c>
      <c r="D167">
        <v>-102.32</v>
      </c>
      <c r="E167" t="s">
        <v>362</v>
      </c>
      <c r="F167" t="s">
        <v>367</v>
      </c>
      <c r="G167" t="s">
        <v>297</v>
      </c>
      <c r="H167" t="s">
        <v>297</v>
      </c>
      <c r="I167">
        <v>3</v>
      </c>
      <c r="J167">
        <v>3</v>
      </c>
      <c r="K167">
        <v>0</v>
      </c>
      <c r="L167">
        <f t="shared" si="4"/>
        <v>3</v>
      </c>
      <c r="M167">
        <f t="shared" si="5"/>
        <v>1</v>
      </c>
      <c r="N167">
        <v>3</v>
      </c>
      <c r="P167" s="2" t="s">
        <v>58</v>
      </c>
      <c r="Q167" s="4" t="s">
        <v>293</v>
      </c>
      <c r="R167" s="2"/>
    </row>
    <row r="168" spans="1:18" x14ac:dyDescent="0.2">
      <c r="A168" s="24">
        <v>170</v>
      </c>
      <c r="B168" s="24" t="s">
        <v>223</v>
      </c>
      <c r="C168">
        <v>43.78</v>
      </c>
      <c r="D168">
        <v>-102.61</v>
      </c>
      <c r="E168" t="s">
        <v>362</v>
      </c>
      <c r="F168" t="s">
        <v>367</v>
      </c>
      <c r="G168" t="s">
        <v>297</v>
      </c>
      <c r="H168" t="s">
        <v>297</v>
      </c>
      <c r="I168">
        <v>3</v>
      </c>
      <c r="J168">
        <v>3</v>
      </c>
      <c r="K168">
        <v>1</v>
      </c>
      <c r="L168">
        <f t="shared" si="4"/>
        <v>2</v>
      </c>
      <c r="M168">
        <f t="shared" si="5"/>
        <v>0.66666666666666663</v>
      </c>
      <c r="N168">
        <v>2</v>
      </c>
      <c r="P168" s="2" t="s">
        <v>58</v>
      </c>
      <c r="Q168" s="4" t="s">
        <v>293</v>
      </c>
      <c r="R168" s="2"/>
    </row>
    <row r="169" spans="1:18" x14ac:dyDescent="0.2">
      <c r="A169" s="24">
        <v>171</v>
      </c>
      <c r="B169" s="24" t="s">
        <v>224</v>
      </c>
      <c r="C169">
        <v>43.84</v>
      </c>
      <c r="D169">
        <v>-101.94</v>
      </c>
      <c r="E169" t="s">
        <v>362</v>
      </c>
      <c r="F169" t="s">
        <v>367</v>
      </c>
      <c r="G169" t="s">
        <v>297</v>
      </c>
      <c r="H169" t="s">
        <v>297</v>
      </c>
      <c r="I169">
        <v>3</v>
      </c>
      <c r="J169">
        <v>3</v>
      </c>
      <c r="K169">
        <v>0</v>
      </c>
      <c r="L169">
        <f t="shared" si="4"/>
        <v>3</v>
      </c>
      <c r="M169">
        <f t="shared" si="5"/>
        <v>1</v>
      </c>
      <c r="N169">
        <v>3</v>
      </c>
      <c r="P169" s="2" t="s">
        <v>58</v>
      </c>
      <c r="Q169" s="4" t="s">
        <v>293</v>
      </c>
      <c r="R169" s="2"/>
    </row>
    <row r="170" spans="1:18" x14ac:dyDescent="0.2">
      <c r="A170" s="24">
        <v>172</v>
      </c>
      <c r="B170" s="24" t="s">
        <v>225</v>
      </c>
      <c r="C170">
        <v>43.82</v>
      </c>
      <c r="D170">
        <v>-101.94</v>
      </c>
      <c r="E170" t="s">
        <v>362</v>
      </c>
      <c r="F170" t="s">
        <v>367</v>
      </c>
      <c r="G170" t="s">
        <v>297</v>
      </c>
      <c r="H170" t="s">
        <v>297</v>
      </c>
      <c r="I170">
        <v>3</v>
      </c>
      <c r="J170">
        <v>3</v>
      </c>
      <c r="K170">
        <v>0</v>
      </c>
      <c r="L170">
        <f t="shared" si="4"/>
        <v>3</v>
      </c>
      <c r="M170">
        <f t="shared" si="5"/>
        <v>1</v>
      </c>
      <c r="N170">
        <v>3</v>
      </c>
      <c r="P170" s="2" t="s">
        <v>58</v>
      </c>
      <c r="Q170" s="4" t="s">
        <v>293</v>
      </c>
      <c r="R170" s="2"/>
    </row>
    <row r="171" spans="1:18" x14ac:dyDescent="0.2">
      <c r="A171" s="24">
        <v>173</v>
      </c>
      <c r="B171" s="24" t="s">
        <v>226</v>
      </c>
      <c r="C171">
        <v>44.68</v>
      </c>
      <c r="D171">
        <v>-109.07</v>
      </c>
      <c r="E171" t="s">
        <v>362</v>
      </c>
      <c r="F171" t="s">
        <v>367</v>
      </c>
      <c r="G171" t="s">
        <v>297</v>
      </c>
      <c r="H171" t="s">
        <v>297</v>
      </c>
      <c r="I171">
        <v>3</v>
      </c>
      <c r="J171">
        <v>3</v>
      </c>
      <c r="K171">
        <v>1</v>
      </c>
      <c r="L171">
        <f t="shared" si="4"/>
        <v>2</v>
      </c>
      <c r="M171">
        <f t="shared" si="5"/>
        <v>0.66666666666666663</v>
      </c>
      <c r="N171">
        <v>2</v>
      </c>
      <c r="P171" s="2" t="s">
        <v>58</v>
      </c>
      <c r="Q171" s="4" t="s">
        <v>293</v>
      </c>
      <c r="R171" s="2"/>
    </row>
    <row r="172" spans="1:18" x14ac:dyDescent="0.2">
      <c r="A172" s="24">
        <v>174</v>
      </c>
      <c r="B172" s="24" t="s">
        <v>227</v>
      </c>
      <c r="C172">
        <v>45.67</v>
      </c>
      <c r="D172">
        <v>-111.03</v>
      </c>
      <c r="E172" t="s">
        <v>362</v>
      </c>
      <c r="F172" t="s">
        <v>367</v>
      </c>
      <c r="G172" t="s">
        <v>297</v>
      </c>
      <c r="H172" t="s">
        <v>297</v>
      </c>
      <c r="I172">
        <v>3</v>
      </c>
      <c r="J172">
        <v>3</v>
      </c>
      <c r="K172">
        <v>2</v>
      </c>
      <c r="L172">
        <f t="shared" si="4"/>
        <v>1</v>
      </c>
      <c r="M172">
        <f t="shared" si="5"/>
        <v>0.33333333333333331</v>
      </c>
      <c r="N172">
        <v>0</v>
      </c>
      <c r="O172">
        <v>0</v>
      </c>
      <c r="P172" s="2" t="s">
        <v>58</v>
      </c>
      <c r="Q172" s="4" t="s">
        <v>293</v>
      </c>
      <c r="R172" s="2"/>
    </row>
    <row r="173" spans="1:18" x14ac:dyDescent="0.2">
      <c r="A173" s="24">
        <v>175</v>
      </c>
      <c r="B173" s="24" t="s">
        <v>228</v>
      </c>
      <c r="C173">
        <v>36.823408329999999</v>
      </c>
      <c r="D173">
        <v>-116.0163889</v>
      </c>
      <c r="E173" t="s">
        <v>360</v>
      </c>
      <c r="F173" t="s">
        <v>367</v>
      </c>
      <c r="G173" t="s">
        <v>297</v>
      </c>
      <c r="H173" t="s">
        <v>297</v>
      </c>
      <c r="I173">
        <v>3</v>
      </c>
      <c r="J173">
        <v>3</v>
      </c>
      <c r="K173">
        <v>0</v>
      </c>
      <c r="L173">
        <f t="shared" si="4"/>
        <v>3</v>
      </c>
      <c r="M173">
        <f t="shared" si="5"/>
        <v>1</v>
      </c>
      <c r="N173">
        <v>3</v>
      </c>
      <c r="P173" s="2" t="s">
        <v>58</v>
      </c>
      <c r="Q173" s="4" t="s">
        <v>293</v>
      </c>
      <c r="R173" s="2"/>
    </row>
    <row r="174" spans="1:18" x14ac:dyDescent="0.2">
      <c r="A174" s="24">
        <v>176</v>
      </c>
      <c r="B174" s="24" t="s">
        <v>229</v>
      </c>
      <c r="C174">
        <v>35.398400000000002</v>
      </c>
      <c r="D174">
        <v>-115.78449999999999</v>
      </c>
      <c r="E174" t="s">
        <v>360</v>
      </c>
      <c r="F174" t="s">
        <v>367</v>
      </c>
      <c r="G174" t="s">
        <v>297</v>
      </c>
      <c r="H174" t="s">
        <v>297</v>
      </c>
      <c r="I174">
        <v>3</v>
      </c>
      <c r="J174">
        <v>3</v>
      </c>
      <c r="K174">
        <v>0</v>
      </c>
      <c r="L174">
        <f t="shared" si="4"/>
        <v>3</v>
      </c>
      <c r="M174">
        <f t="shared" si="5"/>
        <v>1</v>
      </c>
      <c r="N174">
        <v>3</v>
      </c>
      <c r="P174" s="2" t="s">
        <v>58</v>
      </c>
      <c r="Q174" s="4" t="s">
        <v>293</v>
      </c>
      <c r="R174" s="2"/>
    </row>
    <row r="175" spans="1:18" x14ac:dyDescent="0.2">
      <c r="A175" s="24">
        <v>177</v>
      </c>
      <c r="B175" s="24" t="s">
        <v>230</v>
      </c>
      <c r="C175">
        <v>36.524700000000003</v>
      </c>
      <c r="D175">
        <v>-115.89870000000001</v>
      </c>
      <c r="E175" t="s">
        <v>360</v>
      </c>
      <c r="F175" t="s">
        <v>367</v>
      </c>
      <c r="G175" t="s">
        <v>297</v>
      </c>
      <c r="H175" t="s">
        <v>297</v>
      </c>
      <c r="I175">
        <v>3</v>
      </c>
      <c r="J175">
        <v>3</v>
      </c>
      <c r="K175">
        <v>0</v>
      </c>
      <c r="L175">
        <f t="shared" si="4"/>
        <v>3</v>
      </c>
      <c r="M175">
        <f t="shared" si="5"/>
        <v>1</v>
      </c>
      <c r="N175">
        <v>3</v>
      </c>
      <c r="P175" s="2" t="s">
        <v>58</v>
      </c>
      <c r="Q175" s="4" t="s">
        <v>293</v>
      </c>
      <c r="R175" s="2"/>
    </row>
    <row r="176" spans="1:18" x14ac:dyDescent="0.2">
      <c r="A176" s="24">
        <v>178</v>
      </c>
      <c r="B176" s="24" t="s">
        <v>231</v>
      </c>
      <c r="C176">
        <v>35.456400000000002</v>
      </c>
      <c r="D176">
        <v>-115.52</v>
      </c>
      <c r="E176" t="s">
        <v>360</v>
      </c>
      <c r="F176" t="s">
        <v>367</v>
      </c>
      <c r="G176" t="s">
        <v>297</v>
      </c>
      <c r="H176" t="s">
        <v>297</v>
      </c>
      <c r="I176">
        <v>3</v>
      </c>
      <c r="J176">
        <v>3</v>
      </c>
      <c r="K176">
        <v>0</v>
      </c>
      <c r="L176">
        <f t="shared" si="4"/>
        <v>3</v>
      </c>
      <c r="M176">
        <f t="shared" si="5"/>
        <v>1</v>
      </c>
      <c r="N176">
        <v>3</v>
      </c>
      <c r="P176" s="2" t="s">
        <v>58</v>
      </c>
      <c r="Q176" s="4" t="s">
        <v>293</v>
      </c>
      <c r="R176" s="2"/>
    </row>
    <row r="177" spans="1:19" x14ac:dyDescent="0.2">
      <c r="A177" s="24">
        <v>179</v>
      </c>
      <c r="B177" s="24" t="s">
        <v>232</v>
      </c>
      <c r="C177">
        <v>35.315300000000001</v>
      </c>
      <c r="D177">
        <v>-115.5544</v>
      </c>
      <c r="E177" t="s">
        <v>360</v>
      </c>
      <c r="F177" t="s">
        <v>367</v>
      </c>
      <c r="G177" t="s">
        <v>297</v>
      </c>
      <c r="H177" t="s">
        <v>297</v>
      </c>
      <c r="I177">
        <v>3</v>
      </c>
      <c r="J177">
        <v>3</v>
      </c>
      <c r="K177">
        <v>0</v>
      </c>
      <c r="L177">
        <f t="shared" si="4"/>
        <v>3</v>
      </c>
      <c r="M177">
        <f t="shared" si="5"/>
        <v>1</v>
      </c>
      <c r="N177">
        <v>3</v>
      </c>
      <c r="P177" s="2" t="s">
        <v>58</v>
      </c>
      <c r="Q177" s="4" t="s">
        <v>293</v>
      </c>
      <c r="R177" s="2"/>
    </row>
    <row r="178" spans="1:19" x14ac:dyDescent="0.2">
      <c r="A178" s="24">
        <v>180</v>
      </c>
      <c r="B178" s="24" t="s">
        <v>233</v>
      </c>
      <c r="C178">
        <v>39.49</v>
      </c>
      <c r="D178">
        <v>-119.84</v>
      </c>
      <c r="E178" t="s">
        <v>360</v>
      </c>
      <c r="F178" t="s">
        <v>367</v>
      </c>
      <c r="G178" t="s">
        <v>297</v>
      </c>
      <c r="H178" t="s">
        <v>297</v>
      </c>
      <c r="I178">
        <v>3</v>
      </c>
      <c r="J178">
        <v>3</v>
      </c>
      <c r="K178">
        <v>0</v>
      </c>
      <c r="L178">
        <f t="shared" si="4"/>
        <v>3</v>
      </c>
      <c r="M178">
        <f t="shared" si="5"/>
        <v>1</v>
      </c>
      <c r="N178">
        <v>3</v>
      </c>
      <c r="P178" s="2" t="s">
        <v>58</v>
      </c>
      <c r="Q178" s="4" t="s">
        <v>293</v>
      </c>
      <c r="R178" s="2"/>
    </row>
    <row r="179" spans="1:19" x14ac:dyDescent="0.2">
      <c r="A179" s="24">
        <v>181</v>
      </c>
      <c r="B179" s="24" t="s">
        <v>234</v>
      </c>
      <c r="C179">
        <v>46.68</v>
      </c>
      <c r="D179">
        <v>-114.03</v>
      </c>
      <c r="E179" t="s">
        <v>362</v>
      </c>
      <c r="F179" t="s">
        <v>367</v>
      </c>
      <c r="G179" t="s">
        <v>297</v>
      </c>
      <c r="H179" t="s">
        <v>297</v>
      </c>
      <c r="I179">
        <v>3</v>
      </c>
      <c r="J179">
        <v>3</v>
      </c>
      <c r="K179">
        <v>0</v>
      </c>
      <c r="L179">
        <f t="shared" si="4"/>
        <v>3</v>
      </c>
      <c r="M179">
        <f t="shared" si="5"/>
        <v>1</v>
      </c>
      <c r="N179">
        <v>3</v>
      </c>
      <c r="P179" s="2" t="s">
        <v>58</v>
      </c>
      <c r="Q179" s="4" t="s">
        <v>293</v>
      </c>
      <c r="R179" s="2"/>
    </row>
    <row r="180" spans="1:19" x14ac:dyDescent="0.2">
      <c r="A180" s="24">
        <v>182</v>
      </c>
      <c r="B180" s="24" t="s">
        <v>235</v>
      </c>
      <c r="C180">
        <v>46.64</v>
      </c>
      <c r="D180">
        <v>-113.23</v>
      </c>
      <c r="E180" t="s">
        <v>362</v>
      </c>
      <c r="F180" t="s">
        <v>367</v>
      </c>
      <c r="G180" t="s">
        <v>297</v>
      </c>
      <c r="H180" t="s">
        <v>297</v>
      </c>
      <c r="I180">
        <v>3</v>
      </c>
      <c r="J180">
        <v>3</v>
      </c>
      <c r="K180">
        <v>0</v>
      </c>
      <c r="L180">
        <f t="shared" si="4"/>
        <v>3</v>
      </c>
      <c r="M180">
        <f t="shared" si="5"/>
        <v>1</v>
      </c>
      <c r="N180">
        <v>3</v>
      </c>
      <c r="P180" s="2" t="s">
        <v>58</v>
      </c>
      <c r="Q180" s="4" t="s">
        <v>293</v>
      </c>
      <c r="R180" s="2"/>
    </row>
    <row r="181" spans="1:19" x14ac:dyDescent="0.2">
      <c r="A181" s="24">
        <v>183</v>
      </c>
      <c r="B181" s="24" t="s">
        <v>236</v>
      </c>
      <c r="C181">
        <v>43.24</v>
      </c>
      <c r="D181">
        <v>-105.18</v>
      </c>
      <c r="E181" t="s">
        <v>362</v>
      </c>
      <c r="F181" t="s">
        <v>367</v>
      </c>
      <c r="G181" t="s">
        <v>297</v>
      </c>
      <c r="H181" t="s">
        <v>297</v>
      </c>
      <c r="I181">
        <v>3</v>
      </c>
      <c r="J181">
        <v>3</v>
      </c>
      <c r="K181">
        <v>1</v>
      </c>
      <c r="L181">
        <f t="shared" si="4"/>
        <v>2</v>
      </c>
      <c r="M181">
        <f t="shared" si="5"/>
        <v>0.66666666666666663</v>
      </c>
      <c r="N181">
        <v>3</v>
      </c>
      <c r="O181">
        <v>2</v>
      </c>
      <c r="P181" s="2" t="s">
        <v>58</v>
      </c>
      <c r="Q181" s="4" t="s">
        <v>293</v>
      </c>
      <c r="R181" s="2"/>
    </row>
    <row r="182" spans="1:19" x14ac:dyDescent="0.2">
      <c r="A182" s="24">
        <v>184</v>
      </c>
      <c r="B182" s="24" t="s">
        <v>237</v>
      </c>
      <c r="C182">
        <v>43.55</v>
      </c>
      <c r="D182">
        <v>-105.1</v>
      </c>
      <c r="E182" t="s">
        <v>362</v>
      </c>
      <c r="F182" t="s">
        <v>367</v>
      </c>
      <c r="G182" t="s">
        <v>297</v>
      </c>
      <c r="H182" t="s">
        <v>297</v>
      </c>
      <c r="I182">
        <v>3</v>
      </c>
      <c r="J182">
        <v>3</v>
      </c>
      <c r="K182">
        <v>0</v>
      </c>
      <c r="L182">
        <f t="shared" si="4"/>
        <v>3</v>
      </c>
      <c r="M182">
        <f t="shared" si="5"/>
        <v>1</v>
      </c>
      <c r="N182">
        <v>3</v>
      </c>
      <c r="P182" s="2" t="s">
        <v>58</v>
      </c>
      <c r="Q182" s="4" t="s">
        <v>293</v>
      </c>
      <c r="R182" s="2"/>
    </row>
    <row r="183" spans="1:19" x14ac:dyDescent="0.2">
      <c r="A183" s="24">
        <v>185</v>
      </c>
      <c r="B183" s="24" t="s">
        <v>238</v>
      </c>
      <c r="C183">
        <v>43.34</v>
      </c>
      <c r="D183">
        <v>-105.13</v>
      </c>
      <c r="E183" t="s">
        <v>362</v>
      </c>
      <c r="F183" t="s">
        <v>367</v>
      </c>
      <c r="G183" t="s">
        <v>297</v>
      </c>
      <c r="H183" t="s">
        <v>297</v>
      </c>
      <c r="I183">
        <v>3</v>
      </c>
      <c r="J183">
        <v>3</v>
      </c>
      <c r="K183">
        <v>0</v>
      </c>
      <c r="L183">
        <f t="shared" si="4"/>
        <v>3</v>
      </c>
      <c r="M183">
        <f t="shared" si="5"/>
        <v>1</v>
      </c>
      <c r="N183">
        <v>3</v>
      </c>
      <c r="P183" s="2" t="s">
        <v>58</v>
      </c>
      <c r="Q183" s="4" t="s">
        <v>293</v>
      </c>
      <c r="R183" s="2"/>
    </row>
    <row r="184" spans="1:19" x14ac:dyDescent="0.2">
      <c r="A184" s="24">
        <v>186</v>
      </c>
      <c r="B184" s="24" t="s">
        <v>239</v>
      </c>
      <c r="C184">
        <v>40.630000000000003</v>
      </c>
      <c r="D184">
        <v>-105.27</v>
      </c>
      <c r="E184" t="s">
        <v>362</v>
      </c>
      <c r="F184" t="s">
        <v>367</v>
      </c>
      <c r="G184" t="s">
        <v>297</v>
      </c>
      <c r="H184" t="s">
        <v>297</v>
      </c>
      <c r="I184">
        <v>3</v>
      </c>
      <c r="J184">
        <v>3</v>
      </c>
      <c r="K184">
        <v>1</v>
      </c>
      <c r="L184">
        <f t="shared" si="4"/>
        <v>2</v>
      </c>
      <c r="M184">
        <f t="shared" si="5"/>
        <v>0.66666666666666663</v>
      </c>
      <c r="N184">
        <v>2</v>
      </c>
      <c r="P184" s="2" t="s">
        <v>58</v>
      </c>
      <c r="Q184" s="4" t="s">
        <v>293</v>
      </c>
      <c r="R184" s="2"/>
    </row>
    <row r="185" spans="1:19" x14ac:dyDescent="0.2">
      <c r="A185" s="24">
        <v>187</v>
      </c>
      <c r="B185" s="24" t="s">
        <v>240</v>
      </c>
      <c r="C185">
        <v>47.61803776</v>
      </c>
      <c r="D185">
        <v>-119.68301150000001</v>
      </c>
      <c r="E185" t="s">
        <v>362</v>
      </c>
      <c r="F185" t="s">
        <v>367</v>
      </c>
      <c r="G185" t="s">
        <v>297</v>
      </c>
      <c r="H185" t="s">
        <v>297</v>
      </c>
      <c r="I185">
        <v>3</v>
      </c>
      <c r="J185">
        <v>3</v>
      </c>
      <c r="K185">
        <v>1</v>
      </c>
      <c r="L185">
        <f t="shared" si="4"/>
        <v>2</v>
      </c>
      <c r="M185">
        <f t="shared" si="5"/>
        <v>0.66666666666666663</v>
      </c>
      <c r="N185">
        <v>2</v>
      </c>
      <c r="P185" s="2" t="s">
        <v>58</v>
      </c>
      <c r="Q185" s="4" t="s">
        <v>293</v>
      </c>
      <c r="R185" s="2"/>
    </row>
    <row r="186" spans="1:19" x14ac:dyDescent="0.2">
      <c r="A186" s="24">
        <v>188</v>
      </c>
      <c r="B186" s="24" t="s">
        <v>241</v>
      </c>
      <c r="C186">
        <v>44.604563579999997</v>
      </c>
      <c r="D186">
        <v>-120.1924183</v>
      </c>
      <c r="E186" t="s">
        <v>362</v>
      </c>
      <c r="F186" t="s">
        <v>367</v>
      </c>
      <c r="G186" t="s">
        <v>297</v>
      </c>
      <c r="H186" t="s">
        <v>297</v>
      </c>
      <c r="I186">
        <v>3</v>
      </c>
      <c r="J186">
        <v>3</v>
      </c>
      <c r="K186">
        <v>0</v>
      </c>
      <c r="L186">
        <f t="shared" si="4"/>
        <v>3</v>
      </c>
      <c r="M186">
        <f t="shared" si="5"/>
        <v>1</v>
      </c>
      <c r="N186">
        <v>3</v>
      </c>
      <c r="P186" s="2" t="s">
        <v>58</v>
      </c>
      <c r="Q186" s="4" t="s">
        <v>293</v>
      </c>
      <c r="R186" s="2"/>
    </row>
    <row r="187" spans="1:19" x14ac:dyDescent="0.2">
      <c r="A187" s="24">
        <v>189</v>
      </c>
      <c r="B187" s="24" t="s">
        <v>242</v>
      </c>
      <c r="C187">
        <v>46.748309980000002</v>
      </c>
      <c r="D187">
        <v>-119.361636</v>
      </c>
      <c r="E187" t="s">
        <v>362</v>
      </c>
      <c r="F187" t="s">
        <v>367</v>
      </c>
      <c r="G187" t="s">
        <v>297</v>
      </c>
      <c r="H187" t="s">
        <v>297</v>
      </c>
      <c r="I187">
        <v>3</v>
      </c>
      <c r="J187">
        <v>3</v>
      </c>
      <c r="K187">
        <v>0</v>
      </c>
      <c r="L187">
        <f t="shared" si="4"/>
        <v>3</v>
      </c>
      <c r="M187">
        <f t="shared" si="5"/>
        <v>1</v>
      </c>
      <c r="N187">
        <v>3</v>
      </c>
      <c r="P187" s="2" t="s">
        <v>58</v>
      </c>
      <c r="Q187" s="4" t="s">
        <v>293</v>
      </c>
      <c r="R187" s="2"/>
    </row>
    <row r="188" spans="1:19" x14ac:dyDescent="0.2">
      <c r="A188" s="24">
        <v>190</v>
      </c>
      <c r="B188" s="24" t="s">
        <v>243</v>
      </c>
      <c r="C188">
        <v>42.35</v>
      </c>
      <c r="D188">
        <v>-118.65</v>
      </c>
      <c r="E188" t="s">
        <v>362</v>
      </c>
      <c r="F188" t="s">
        <v>367</v>
      </c>
      <c r="G188" t="s">
        <v>297</v>
      </c>
      <c r="H188" t="s">
        <v>297</v>
      </c>
      <c r="I188">
        <v>3</v>
      </c>
      <c r="J188">
        <v>3</v>
      </c>
      <c r="K188">
        <v>0</v>
      </c>
      <c r="L188">
        <f t="shared" si="4"/>
        <v>3</v>
      </c>
      <c r="M188">
        <f t="shared" si="5"/>
        <v>1</v>
      </c>
      <c r="N188">
        <v>3</v>
      </c>
      <c r="P188" s="2" t="s">
        <v>58</v>
      </c>
      <c r="Q188" s="4" t="s">
        <v>293</v>
      </c>
      <c r="R188" s="2"/>
    </row>
    <row r="189" spans="1:19" x14ac:dyDescent="0.2">
      <c r="A189" s="24">
        <v>191</v>
      </c>
      <c r="B189" s="24" t="s">
        <v>244</v>
      </c>
      <c r="C189">
        <v>43.42</v>
      </c>
      <c r="D189">
        <v>-119.62</v>
      </c>
      <c r="E189" t="s">
        <v>362</v>
      </c>
      <c r="F189" t="s">
        <v>367</v>
      </c>
      <c r="G189" t="s">
        <v>297</v>
      </c>
      <c r="H189" t="s">
        <v>297</v>
      </c>
      <c r="I189">
        <v>3</v>
      </c>
      <c r="J189">
        <v>3</v>
      </c>
      <c r="K189">
        <v>1</v>
      </c>
      <c r="L189">
        <f t="shared" si="4"/>
        <v>2</v>
      </c>
      <c r="M189">
        <f t="shared" si="5"/>
        <v>0.66666666666666663</v>
      </c>
      <c r="N189">
        <v>2</v>
      </c>
      <c r="P189" s="2" t="s">
        <v>58</v>
      </c>
      <c r="Q189" s="4" t="s">
        <v>293</v>
      </c>
      <c r="R189" s="2"/>
    </row>
    <row r="190" spans="1:19" x14ac:dyDescent="0.2">
      <c r="A190" s="24">
        <v>192</v>
      </c>
      <c r="B190" s="24" t="s">
        <v>245</v>
      </c>
      <c r="C190">
        <v>43.19</v>
      </c>
      <c r="D190">
        <v>-120</v>
      </c>
      <c r="E190" t="s">
        <v>362</v>
      </c>
      <c r="F190" t="s">
        <v>367</v>
      </c>
      <c r="G190" t="s">
        <v>297</v>
      </c>
      <c r="H190" t="s">
        <v>297</v>
      </c>
      <c r="I190">
        <v>3</v>
      </c>
      <c r="J190">
        <v>3</v>
      </c>
      <c r="K190">
        <v>0</v>
      </c>
      <c r="L190">
        <f t="shared" si="4"/>
        <v>3</v>
      </c>
      <c r="M190">
        <f t="shared" si="5"/>
        <v>1</v>
      </c>
      <c r="N190">
        <v>3</v>
      </c>
      <c r="P190" s="2" t="s">
        <v>58</v>
      </c>
      <c r="Q190" s="4" t="s">
        <v>293</v>
      </c>
      <c r="R190" s="2"/>
    </row>
    <row r="191" spans="1:19" x14ac:dyDescent="0.2">
      <c r="A191" s="24">
        <v>193</v>
      </c>
      <c r="B191" s="24" t="s">
        <v>246</v>
      </c>
      <c r="C191">
        <v>43.24</v>
      </c>
      <c r="D191">
        <v>-120.4</v>
      </c>
      <c r="E191" t="s">
        <v>362</v>
      </c>
      <c r="F191" t="s">
        <v>367</v>
      </c>
      <c r="G191" t="s">
        <v>297</v>
      </c>
      <c r="H191" t="s">
        <v>297</v>
      </c>
      <c r="I191">
        <v>2</v>
      </c>
      <c r="J191">
        <v>2</v>
      </c>
      <c r="K191">
        <v>0</v>
      </c>
      <c r="L191">
        <f t="shared" si="4"/>
        <v>2</v>
      </c>
      <c r="M191">
        <f t="shared" si="5"/>
        <v>1</v>
      </c>
      <c r="N191">
        <v>2</v>
      </c>
      <c r="P191" s="2" t="s">
        <v>60</v>
      </c>
      <c r="Q191" s="4" t="s">
        <v>9</v>
      </c>
      <c r="R191" s="2"/>
      <c r="S191" t="s">
        <v>68</v>
      </c>
    </row>
    <row r="192" spans="1:19" x14ac:dyDescent="0.2">
      <c r="A192" s="24">
        <v>195</v>
      </c>
      <c r="B192" s="24" t="s">
        <v>247</v>
      </c>
      <c r="C192">
        <v>44.36</v>
      </c>
      <c r="D192">
        <v>-118.93</v>
      </c>
      <c r="E192" t="s">
        <v>362</v>
      </c>
      <c r="F192" t="s">
        <v>367</v>
      </c>
      <c r="G192" t="s">
        <v>297</v>
      </c>
      <c r="H192" t="s">
        <v>297</v>
      </c>
      <c r="I192">
        <v>3</v>
      </c>
      <c r="J192">
        <v>3</v>
      </c>
      <c r="K192">
        <v>1</v>
      </c>
      <c r="L192">
        <f t="shared" si="4"/>
        <v>2</v>
      </c>
      <c r="M192">
        <f t="shared" si="5"/>
        <v>0.66666666666666663</v>
      </c>
      <c r="N192">
        <v>0</v>
      </c>
      <c r="O192">
        <v>0</v>
      </c>
      <c r="P192" s="2" t="s">
        <v>58</v>
      </c>
      <c r="Q192" s="4" t="s">
        <v>293</v>
      </c>
      <c r="R192" s="2"/>
    </row>
    <row r="193" spans="1:19" x14ac:dyDescent="0.2">
      <c r="A193" s="24">
        <v>196</v>
      </c>
      <c r="B193" s="24" t="s">
        <v>248</v>
      </c>
      <c r="C193">
        <v>44.57</v>
      </c>
      <c r="D193">
        <v>-119.65</v>
      </c>
      <c r="E193" t="s">
        <v>362</v>
      </c>
      <c r="F193" t="s">
        <v>367</v>
      </c>
      <c r="G193" t="s">
        <v>297</v>
      </c>
      <c r="H193" t="s">
        <v>297</v>
      </c>
      <c r="I193">
        <v>3</v>
      </c>
      <c r="J193">
        <v>3</v>
      </c>
      <c r="K193">
        <v>0</v>
      </c>
      <c r="L193">
        <f t="shared" si="4"/>
        <v>3</v>
      </c>
      <c r="M193">
        <f t="shared" si="5"/>
        <v>1</v>
      </c>
      <c r="N193">
        <v>3</v>
      </c>
      <c r="P193" s="2" t="s">
        <v>58</v>
      </c>
      <c r="Q193" s="4" t="s">
        <v>293</v>
      </c>
      <c r="R193" s="2"/>
    </row>
    <row r="194" spans="1:19" x14ac:dyDescent="0.2">
      <c r="A194" s="24">
        <v>197</v>
      </c>
      <c r="B194" s="24" t="s">
        <v>249</v>
      </c>
      <c r="C194">
        <v>38.520000000000003</v>
      </c>
      <c r="D194">
        <v>-109.47</v>
      </c>
      <c r="E194" t="s">
        <v>360</v>
      </c>
      <c r="F194" t="s">
        <v>367</v>
      </c>
      <c r="G194" t="s">
        <v>297</v>
      </c>
      <c r="H194" t="s">
        <v>297</v>
      </c>
      <c r="I194">
        <v>3</v>
      </c>
      <c r="J194">
        <v>3</v>
      </c>
      <c r="K194">
        <v>0</v>
      </c>
      <c r="L194">
        <f t="shared" si="4"/>
        <v>3</v>
      </c>
      <c r="M194">
        <f t="shared" si="5"/>
        <v>1</v>
      </c>
      <c r="N194">
        <v>3</v>
      </c>
      <c r="P194" s="2" t="s">
        <v>58</v>
      </c>
      <c r="Q194" s="4" t="s">
        <v>293</v>
      </c>
      <c r="R194" s="2"/>
    </row>
    <row r="195" spans="1:19" x14ac:dyDescent="0.2">
      <c r="A195" s="24">
        <v>198</v>
      </c>
      <c r="B195" s="24" t="s">
        <v>250</v>
      </c>
      <c r="C195">
        <v>38.75</v>
      </c>
      <c r="D195">
        <v>-109.79</v>
      </c>
      <c r="E195" t="s">
        <v>360</v>
      </c>
      <c r="F195" t="s">
        <v>367</v>
      </c>
      <c r="G195" t="s">
        <v>297</v>
      </c>
      <c r="H195" t="s">
        <v>297</v>
      </c>
      <c r="I195">
        <v>3</v>
      </c>
      <c r="J195">
        <v>3</v>
      </c>
      <c r="K195">
        <v>0</v>
      </c>
      <c r="L195">
        <f t="shared" ref="L195:L237" si="6">J195-K195</f>
        <v>3</v>
      </c>
      <c r="M195">
        <f t="shared" ref="M195:M237" si="7">L195/J195</f>
        <v>1</v>
      </c>
      <c r="N195">
        <v>3</v>
      </c>
      <c r="P195" s="2" t="s">
        <v>58</v>
      </c>
      <c r="Q195" s="4" t="s">
        <v>293</v>
      </c>
      <c r="R195" s="2"/>
    </row>
    <row r="196" spans="1:19" x14ac:dyDescent="0.2">
      <c r="A196" s="25">
        <v>199</v>
      </c>
      <c r="B196" s="25" t="s">
        <v>251</v>
      </c>
      <c r="C196">
        <v>46.19</v>
      </c>
      <c r="D196">
        <v>-105.49</v>
      </c>
      <c r="E196" t="s">
        <v>362</v>
      </c>
      <c r="F196" t="s">
        <v>367</v>
      </c>
      <c r="G196" t="s">
        <v>297</v>
      </c>
      <c r="H196" t="s">
        <v>297</v>
      </c>
      <c r="I196">
        <v>1</v>
      </c>
      <c r="J196">
        <v>0</v>
      </c>
      <c r="K196" s="2" t="s">
        <v>386</v>
      </c>
      <c r="L196" s="2" t="s">
        <v>386</v>
      </c>
      <c r="M196" t="e">
        <f t="shared" si="7"/>
        <v>#VALUE!</v>
      </c>
      <c r="N196" s="2" t="s">
        <v>386</v>
      </c>
      <c r="O196">
        <v>0</v>
      </c>
      <c r="P196" s="2" t="s">
        <v>60</v>
      </c>
      <c r="Q196" s="4" t="s">
        <v>9</v>
      </c>
      <c r="R196" s="2">
        <v>0</v>
      </c>
      <c r="S196" t="s">
        <v>252</v>
      </c>
    </row>
    <row r="197" spans="1:19" x14ac:dyDescent="0.2">
      <c r="A197" s="24">
        <v>200</v>
      </c>
      <c r="B197" s="24" t="s">
        <v>253</v>
      </c>
      <c r="C197">
        <v>39.85</v>
      </c>
      <c r="D197">
        <v>-112.15</v>
      </c>
      <c r="E197" t="s">
        <v>360</v>
      </c>
      <c r="F197" t="s">
        <v>367</v>
      </c>
      <c r="G197" t="s">
        <v>297</v>
      </c>
      <c r="H197" t="s">
        <v>297</v>
      </c>
      <c r="I197">
        <v>3</v>
      </c>
      <c r="J197">
        <v>3</v>
      </c>
      <c r="K197">
        <v>0</v>
      </c>
      <c r="L197">
        <f t="shared" si="6"/>
        <v>3</v>
      </c>
      <c r="M197">
        <f t="shared" si="7"/>
        <v>1</v>
      </c>
      <c r="N197">
        <v>3</v>
      </c>
      <c r="P197" s="2" t="s">
        <v>58</v>
      </c>
      <c r="Q197" s="4" t="s">
        <v>293</v>
      </c>
      <c r="R197" s="2"/>
    </row>
    <row r="198" spans="1:19" x14ac:dyDescent="0.2">
      <c r="A198" s="24">
        <v>201</v>
      </c>
      <c r="B198" s="24" t="s">
        <v>254</v>
      </c>
      <c r="C198">
        <v>40.200000000000003</v>
      </c>
      <c r="D198">
        <v>-112.46</v>
      </c>
      <c r="E198" t="s">
        <v>362</v>
      </c>
      <c r="F198" t="s">
        <v>367</v>
      </c>
      <c r="G198" t="s">
        <v>297</v>
      </c>
      <c r="H198" t="s">
        <v>297</v>
      </c>
      <c r="I198">
        <v>3</v>
      </c>
      <c r="J198">
        <v>3</v>
      </c>
      <c r="K198">
        <v>0</v>
      </c>
      <c r="L198">
        <f t="shared" si="6"/>
        <v>3</v>
      </c>
      <c r="M198">
        <f t="shared" si="7"/>
        <v>1</v>
      </c>
      <c r="N198">
        <v>3</v>
      </c>
      <c r="P198" s="2" t="s">
        <v>58</v>
      </c>
      <c r="Q198" s="4" t="s">
        <v>293</v>
      </c>
      <c r="R198" s="2"/>
    </row>
    <row r="199" spans="1:19" x14ac:dyDescent="0.2">
      <c r="A199" s="24">
        <v>202</v>
      </c>
      <c r="B199" s="24" t="s">
        <v>255</v>
      </c>
      <c r="C199">
        <v>38.6</v>
      </c>
      <c r="D199">
        <v>-113.79</v>
      </c>
      <c r="E199" t="s">
        <v>360</v>
      </c>
      <c r="F199" t="s">
        <v>367</v>
      </c>
      <c r="G199" t="s">
        <v>297</v>
      </c>
      <c r="H199" t="s">
        <v>297</v>
      </c>
      <c r="I199">
        <v>3</v>
      </c>
      <c r="J199">
        <v>3</v>
      </c>
      <c r="K199">
        <v>0</v>
      </c>
      <c r="L199">
        <f t="shared" si="6"/>
        <v>3</v>
      </c>
      <c r="M199">
        <f t="shared" si="7"/>
        <v>1</v>
      </c>
      <c r="N199">
        <v>3</v>
      </c>
      <c r="P199" s="2" t="s">
        <v>58</v>
      </c>
      <c r="Q199" s="4" t="s">
        <v>293</v>
      </c>
      <c r="R199" s="2"/>
    </row>
    <row r="200" spans="1:19" x14ac:dyDescent="0.2">
      <c r="A200" s="24">
        <v>203</v>
      </c>
      <c r="B200" s="24" t="s">
        <v>256</v>
      </c>
      <c r="C200">
        <v>38.520000000000003</v>
      </c>
      <c r="D200">
        <v>-113.55</v>
      </c>
      <c r="E200" t="s">
        <v>360</v>
      </c>
      <c r="F200" t="s">
        <v>367</v>
      </c>
      <c r="G200" t="s">
        <v>297</v>
      </c>
      <c r="H200" t="s">
        <v>297</v>
      </c>
      <c r="I200">
        <v>3</v>
      </c>
      <c r="J200">
        <v>3</v>
      </c>
      <c r="K200">
        <v>0</v>
      </c>
      <c r="L200">
        <f t="shared" si="6"/>
        <v>3</v>
      </c>
      <c r="M200">
        <f t="shared" si="7"/>
        <v>1</v>
      </c>
      <c r="N200">
        <v>3</v>
      </c>
      <c r="P200" s="2" t="s">
        <v>58</v>
      </c>
      <c r="Q200" s="4" t="s">
        <v>293</v>
      </c>
      <c r="R200" s="2"/>
    </row>
    <row r="201" spans="1:19" x14ac:dyDescent="0.2">
      <c r="A201" s="24">
        <v>204</v>
      </c>
      <c r="B201" s="24" t="s">
        <v>257</v>
      </c>
      <c r="C201">
        <v>39.11</v>
      </c>
      <c r="D201">
        <v>-112.74</v>
      </c>
      <c r="E201" t="s">
        <v>360</v>
      </c>
      <c r="F201" t="s">
        <v>367</v>
      </c>
      <c r="G201" t="s">
        <v>297</v>
      </c>
      <c r="H201" t="s">
        <v>297</v>
      </c>
      <c r="I201">
        <v>3</v>
      </c>
      <c r="J201">
        <v>3</v>
      </c>
      <c r="K201">
        <v>0</v>
      </c>
      <c r="L201">
        <f t="shared" si="6"/>
        <v>3</v>
      </c>
      <c r="M201">
        <f t="shared" si="7"/>
        <v>1</v>
      </c>
      <c r="N201">
        <v>3</v>
      </c>
      <c r="P201" s="2" t="s">
        <v>58</v>
      </c>
      <c r="Q201" s="4" t="s">
        <v>293</v>
      </c>
      <c r="R201" s="2"/>
    </row>
    <row r="202" spans="1:19" x14ac:dyDescent="0.2">
      <c r="A202" s="24">
        <v>205</v>
      </c>
      <c r="B202" s="24" t="s">
        <v>258</v>
      </c>
      <c r="C202">
        <v>48</v>
      </c>
      <c r="D202">
        <v>-114.04</v>
      </c>
      <c r="E202" t="s">
        <v>362</v>
      </c>
      <c r="F202" t="s">
        <v>367</v>
      </c>
      <c r="G202" t="s">
        <v>297</v>
      </c>
      <c r="H202" t="s">
        <v>297</v>
      </c>
      <c r="I202">
        <v>3</v>
      </c>
      <c r="J202">
        <v>3</v>
      </c>
      <c r="K202">
        <v>0</v>
      </c>
      <c r="L202">
        <f t="shared" si="6"/>
        <v>3</v>
      </c>
      <c r="M202">
        <f t="shared" si="7"/>
        <v>1</v>
      </c>
      <c r="N202">
        <v>3</v>
      </c>
      <c r="P202" s="2" t="s">
        <v>58</v>
      </c>
      <c r="Q202" s="4" t="s">
        <v>293</v>
      </c>
      <c r="R202" s="2"/>
    </row>
    <row r="203" spans="1:19" x14ac:dyDescent="0.2">
      <c r="A203" s="24">
        <v>206</v>
      </c>
      <c r="B203" s="24" t="s">
        <v>259</v>
      </c>
      <c r="C203">
        <v>44.59</v>
      </c>
      <c r="D203">
        <v>-104.71</v>
      </c>
      <c r="E203" t="s">
        <v>362</v>
      </c>
      <c r="F203" t="s">
        <v>367</v>
      </c>
      <c r="G203" t="s">
        <v>297</v>
      </c>
      <c r="H203" t="s">
        <v>297</v>
      </c>
      <c r="I203">
        <v>3</v>
      </c>
      <c r="J203">
        <v>3</v>
      </c>
      <c r="K203">
        <v>1</v>
      </c>
      <c r="L203">
        <f t="shared" si="6"/>
        <v>2</v>
      </c>
      <c r="M203">
        <f t="shared" si="7"/>
        <v>0.66666666666666663</v>
      </c>
      <c r="N203">
        <v>2</v>
      </c>
      <c r="P203" s="2" t="s">
        <v>58</v>
      </c>
      <c r="Q203" s="4" t="s">
        <v>293</v>
      </c>
      <c r="R203" s="2"/>
    </row>
    <row r="204" spans="1:19" x14ac:dyDescent="0.2">
      <c r="A204" s="24">
        <v>207</v>
      </c>
      <c r="B204" s="24" t="s">
        <v>260</v>
      </c>
      <c r="C204">
        <v>43.87</v>
      </c>
      <c r="D204">
        <v>-103.46</v>
      </c>
      <c r="E204" t="s">
        <v>362</v>
      </c>
      <c r="F204" t="s">
        <v>367</v>
      </c>
      <c r="G204" t="s">
        <v>297</v>
      </c>
      <c r="H204" t="s">
        <v>297</v>
      </c>
      <c r="I204">
        <v>3</v>
      </c>
      <c r="J204">
        <v>3</v>
      </c>
      <c r="K204">
        <v>0</v>
      </c>
      <c r="L204">
        <f t="shared" si="6"/>
        <v>3</v>
      </c>
      <c r="M204">
        <f t="shared" si="7"/>
        <v>1</v>
      </c>
      <c r="N204">
        <v>3</v>
      </c>
      <c r="P204" s="2" t="s">
        <v>58</v>
      </c>
      <c r="Q204" s="4" t="s">
        <v>293</v>
      </c>
      <c r="R204" s="2"/>
    </row>
    <row r="205" spans="1:19" x14ac:dyDescent="0.2">
      <c r="A205" s="24">
        <v>208</v>
      </c>
      <c r="B205" s="24" t="s">
        <v>261</v>
      </c>
      <c r="C205">
        <v>43.62</v>
      </c>
      <c r="D205">
        <v>-103.47</v>
      </c>
      <c r="E205" t="s">
        <v>362</v>
      </c>
      <c r="F205" t="s">
        <v>367</v>
      </c>
      <c r="G205" t="s">
        <v>297</v>
      </c>
      <c r="H205" t="s">
        <v>297</v>
      </c>
      <c r="I205">
        <v>3</v>
      </c>
      <c r="J205">
        <v>3</v>
      </c>
      <c r="K205">
        <v>0</v>
      </c>
      <c r="L205">
        <f t="shared" si="6"/>
        <v>3</v>
      </c>
      <c r="M205">
        <f t="shared" si="7"/>
        <v>1</v>
      </c>
      <c r="N205">
        <v>3</v>
      </c>
      <c r="P205" s="2" t="s">
        <v>58</v>
      </c>
      <c r="Q205" s="4" t="s">
        <v>293</v>
      </c>
      <c r="R205" s="2"/>
    </row>
    <row r="206" spans="1:19" x14ac:dyDescent="0.2">
      <c r="A206" s="24">
        <v>209</v>
      </c>
      <c r="B206" s="24" t="s">
        <v>262</v>
      </c>
      <c r="C206">
        <v>43.71</v>
      </c>
      <c r="D206">
        <v>-102.58</v>
      </c>
      <c r="E206" t="s">
        <v>362</v>
      </c>
      <c r="F206" t="s">
        <v>367</v>
      </c>
      <c r="G206" t="s">
        <v>297</v>
      </c>
      <c r="H206" t="s">
        <v>297</v>
      </c>
      <c r="I206">
        <v>3</v>
      </c>
      <c r="J206">
        <v>3</v>
      </c>
      <c r="K206">
        <v>0</v>
      </c>
      <c r="L206">
        <f t="shared" si="6"/>
        <v>3</v>
      </c>
      <c r="M206">
        <f t="shared" si="7"/>
        <v>1</v>
      </c>
      <c r="N206">
        <v>3</v>
      </c>
      <c r="P206" s="2" t="s">
        <v>58</v>
      </c>
      <c r="Q206" s="4" t="s">
        <v>293</v>
      </c>
      <c r="R206" s="2"/>
    </row>
    <row r="207" spans="1:19" x14ac:dyDescent="0.2">
      <c r="A207" s="24">
        <v>210</v>
      </c>
      <c r="B207" s="24" t="s">
        <v>263</v>
      </c>
      <c r="C207">
        <v>43.7</v>
      </c>
      <c r="D207">
        <v>-102.58</v>
      </c>
      <c r="E207" t="s">
        <v>362</v>
      </c>
      <c r="F207" t="s">
        <v>367</v>
      </c>
      <c r="G207" t="s">
        <v>297</v>
      </c>
      <c r="H207" t="s">
        <v>297</v>
      </c>
      <c r="I207">
        <v>3</v>
      </c>
      <c r="J207">
        <v>3</v>
      </c>
      <c r="K207">
        <v>0</v>
      </c>
      <c r="L207">
        <f t="shared" si="6"/>
        <v>3</v>
      </c>
      <c r="M207">
        <f t="shared" si="7"/>
        <v>1</v>
      </c>
      <c r="N207">
        <v>3</v>
      </c>
      <c r="P207" s="2" t="s">
        <v>58</v>
      </c>
      <c r="Q207" s="4" t="s">
        <v>293</v>
      </c>
      <c r="R207" s="2"/>
    </row>
    <row r="208" spans="1:19" x14ac:dyDescent="0.2">
      <c r="A208" s="24">
        <v>211</v>
      </c>
      <c r="B208" s="24" t="s">
        <v>264</v>
      </c>
      <c r="C208">
        <v>41.83</v>
      </c>
      <c r="D208">
        <v>-103.71</v>
      </c>
      <c r="E208" t="s">
        <v>362</v>
      </c>
      <c r="F208" t="s">
        <v>367</v>
      </c>
      <c r="G208" t="s">
        <v>297</v>
      </c>
      <c r="H208" t="s">
        <v>297</v>
      </c>
      <c r="I208">
        <v>3</v>
      </c>
      <c r="J208">
        <v>3</v>
      </c>
      <c r="K208">
        <v>1</v>
      </c>
      <c r="L208">
        <f t="shared" si="6"/>
        <v>2</v>
      </c>
      <c r="M208">
        <f t="shared" si="7"/>
        <v>0.66666666666666663</v>
      </c>
      <c r="N208">
        <v>2</v>
      </c>
      <c r="P208" s="2" t="s">
        <v>58</v>
      </c>
      <c r="Q208" s="4" t="s">
        <v>293</v>
      </c>
      <c r="R208" s="2"/>
    </row>
    <row r="209" spans="1:19" x14ac:dyDescent="0.2">
      <c r="A209" s="24">
        <v>212</v>
      </c>
      <c r="B209" s="24" t="s">
        <v>265</v>
      </c>
      <c r="C209">
        <v>40.35</v>
      </c>
      <c r="D209">
        <v>-119.34</v>
      </c>
      <c r="E209" t="s">
        <v>362</v>
      </c>
      <c r="F209" t="s">
        <v>367</v>
      </c>
      <c r="G209" t="s">
        <v>297</v>
      </c>
      <c r="H209" t="s">
        <v>297</v>
      </c>
      <c r="I209">
        <v>3</v>
      </c>
      <c r="J209">
        <v>3</v>
      </c>
      <c r="K209">
        <v>0</v>
      </c>
      <c r="L209">
        <f t="shared" si="6"/>
        <v>3</v>
      </c>
      <c r="M209">
        <f t="shared" si="7"/>
        <v>1</v>
      </c>
      <c r="N209">
        <v>3</v>
      </c>
      <c r="P209" s="2" t="s">
        <v>58</v>
      </c>
      <c r="Q209" s="4" t="s">
        <v>293</v>
      </c>
      <c r="R209" s="2"/>
    </row>
    <row r="210" spans="1:19" x14ac:dyDescent="0.2">
      <c r="A210" s="24">
        <v>213</v>
      </c>
      <c r="B210" s="24" t="s">
        <v>266</v>
      </c>
      <c r="C210">
        <v>40.840000000000003</v>
      </c>
      <c r="D210">
        <v>-119.56</v>
      </c>
      <c r="E210" t="s">
        <v>362</v>
      </c>
      <c r="F210" t="s">
        <v>367</v>
      </c>
      <c r="G210" t="s">
        <v>297</v>
      </c>
      <c r="H210" t="s">
        <v>297</v>
      </c>
      <c r="I210">
        <v>3</v>
      </c>
      <c r="J210">
        <v>3</v>
      </c>
      <c r="K210">
        <v>1</v>
      </c>
      <c r="L210">
        <f t="shared" si="6"/>
        <v>2</v>
      </c>
      <c r="M210">
        <f t="shared" si="7"/>
        <v>0.66666666666666663</v>
      </c>
      <c r="N210">
        <v>2</v>
      </c>
      <c r="P210" s="2" t="s">
        <v>58</v>
      </c>
      <c r="Q210" s="4" t="s">
        <v>293</v>
      </c>
      <c r="R210" s="2"/>
    </row>
    <row r="211" spans="1:19" x14ac:dyDescent="0.2">
      <c r="A211" s="24">
        <v>214</v>
      </c>
      <c r="B211" s="24" t="s">
        <v>267</v>
      </c>
      <c r="C211">
        <v>41.6</v>
      </c>
      <c r="D211">
        <v>-120.2</v>
      </c>
      <c r="E211" t="s">
        <v>362</v>
      </c>
      <c r="F211" t="s">
        <v>367</v>
      </c>
      <c r="G211" t="s">
        <v>297</v>
      </c>
      <c r="H211" t="s">
        <v>297</v>
      </c>
      <c r="I211">
        <v>3</v>
      </c>
      <c r="J211">
        <v>3</v>
      </c>
      <c r="K211">
        <v>0</v>
      </c>
      <c r="L211">
        <f t="shared" si="6"/>
        <v>3</v>
      </c>
      <c r="M211">
        <f t="shared" si="7"/>
        <v>1</v>
      </c>
      <c r="N211">
        <v>3</v>
      </c>
      <c r="P211" s="2" t="s">
        <v>60</v>
      </c>
      <c r="Q211" s="4" t="s">
        <v>9</v>
      </c>
      <c r="R211" s="2"/>
      <c r="S211" t="s">
        <v>68</v>
      </c>
    </row>
    <row r="212" spans="1:19" x14ac:dyDescent="0.2">
      <c r="A212" s="24">
        <v>215</v>
      </c>
      <c r="B212" s="24" t="s">
        <v>268</v>
      </c>
      <c r="C212">
        <v>41.32</v>
      </c>
      <c r="D212">
        <v>-105.54</v>
      </c>
      <c r="E212" t="s">
        <v>362</v>
      </c>
      <c r="F212" t="s">
        <v>367</v>
      </c>
      <c r="G212" t="s">
        <v>297</v>
      </c>
      <c r="H212" t="s">
        <v>297</v>
      </c>
      <c r="I212">
        <v>3</v>
      </c>
      <c r="J212">
        <v>3</v>
      </c>
      <c r="K212">
        <v>1</v>
      </c>
      <c r="L212">
        <f t="shared" si="6"/>
        <v>2</v>
      </c>
      <c r="M212">
        <f t="shared" si="7"/>
        <v>0.66666666666666663</v>
      </c>
      <c r="N212">
        <v>2</v>
      </c>
      <c r="O212">
        <v>1</v>
      </c>
      <c r="P212" s="2" t="s">
        <v>60</v>
      </c>
      <c r="Q212" s="4" t="s">
        <v>9</v>
      </c>
      <c r="R212" s="2"/>
      <c r="S212" t="s">
        <v>388</v>
      </c>
    </row>
    <row r="213" spans="1:19" x14ac:dyDescent="0.2">
      <c r="A213" s="24">
        <v>216</v>
      </c>
      <c r="B213" s="24" t="s">
        <v>269</v>
      </c>
      <c r="C213">
        <v>41.31</v>
      </c>
      <c r="D213">
        <v>-105.66</v>
      </c>
      <c r="E213" t="s">
        <v>362</v>
      </c>
      <c r="F213" t="s">
        <v>367</v>
      </c>
      <c r="G213" t="s">
        <v>297</v>
      </c>
      <c r="H213" t="s">
        <v>297</v>
      </c>
      <c r="I213">
        <v>3</v>
      </c>
      <c r="J213">
        <v>3</v>
      </c>
      <c r="K213">
        <v>1</v>
      </c>
      <c r="L213">
        <f t="shared" si="6"/>
        <v>2</v>
      </c>
      <c r="M213">
        <f t="shared" si="7"/>
        <v>0.66666666666666663</v>
      </c>
      <c r="N213">
        <v>2</v>
      </c>
      <c r="P213" s="2" t="s">
        <v>58</v>
      </c>
      <c r="Q213" s="4" t="s">
        <v>293</v>
      </c>
      <c r="R213" s="2"/>
    </row>
    <row r="214" spans="1:19" x14ac:dyDescent="0.2">
      <c r="A214" s="24">
        <v>217</v>
      </c>
      <c r="B214" s="24" t="s">
        <v>270</v>
      </c>
      <c r="C214">
        <v>40.559085000000003</v>
      </c>
      <c r="D214">
        <v>-105.14416900000001</v>
      </c>
      <c r="E214" t="s">
        <v>362</v>
      </c>
      <c r="F214" t="s">
        <v>367</v>
      </c>
      <c r="G214" t="s">
        <v>297</v>
      </c>
      <c r="H214" t="s">
        <v>297</v>
      </c>
      <c r="I214">
        <v>3</v>
      </c>
      <c r="J214">
        <v>3</v>
      </c>
      <c r="K214">
        <v>0</v>
      </c>
      <c r="L214">
        <f t="shared" si="6"/>
        <v>3</v>
      </c>
      <c r="M214">
        <f t="shared" si="7"/>
        <v>1</v>
      </c>
      <c r="N214">
        <v>3</v>
      </c>
      <c r="P214" s="2" t="s">
        <v>58</v>
      </c>
      <c r="Q214" s="4" t="s">
        <v>293</v>
      </c>
      <c r="R214" s="2"/>
    </row>
    <row r="215" spans="1:19" x14ac:dyDescent="0.2">
      <c r="A215" s="24">
        <v>218</v>
      </c>
      <c r="B215" s="24" t="s">
        <v>271</v>
      </c>
      <c r="C215">
        <v>39.766039999999997</v>
      </c>
      <c r="D215">
        <v>-109.5635</v>
      </c>
      <c r="E215" t="s">
        <v>360</v>
      </c>
      <c r="F215" t="s">
        <v>367</v>
      </c>
      <c r="G215" t="s">
        <v>297</v>
      </c>
      <c r="H215" t="s">
        <v>297</v>
      </c>
      <c r="I215">
        <v>3</v>
      </c>
      <c r="J215">
        <v>3</v>
      </c>
      <c r="K215">
        <v>0</v>
      </c>
      <c r="L215">
        <f t="shared" si="6"/>
        <v>3</v>
      </c>
      <c r="M215">
        <f t="shared" si="7"/>
        <v>1</v>
      </c>
      <c r="N215">
        <v>3</v>
      </c>
      <c r="P215" s="2" t="s">
        <v>58</v>
      </c>
      <c r="Q215" s="4" t="s">
        <v>293</v>
      </c>
      <c r="R215" s="2"/>
    </row>
    <row r="216" spans="1:19" x14ac:dyDescent="0.2">
      <c r="A216" s="24">
        <v>219</v>
      </c>
      <c r="B216" s="24" t="s">
        <v>272</v>
      </c>
      <c r="C216">
        <v>40.29092</v>
      </c>
      <c r="D216">
        <v>-109.68361</v>
      </c>
      <c r="E216" t="s">
        <v>362</v>
      </c>
      <c r="F216" t="s">
        <v>367</v>
      </c>
      <c r="G216" t="s">
        <v>297</v>
      </c>
      <c r="H216" t="s">
        <v>297</v>
      </c>
      <c r="I216">
        <v>3</v>
      </c>
      <c r="J216">
        <v>3</v>
      </c>
      <c r="K216">
        <v>0</v>
      </c>
      <c r="L216">
        <f t="shared" si="6"/>
        <v>3</v>
      </c>
      <c r="M216">
        <f t="shared" si="7"/>
        <v>1</v>
      </c>
      <c r="N216">
        <v>3</v>
      </c>
      <c r="P216" s="2" t="s">
        <v>58</v>
      </c>
      <c r="Q216" s="4" t="s">
        <v>293</v>
      </c>
      <c r="R216" s="2"/>
    </row>
    <row r="217" spans="1:19" x14ac:dyDescent="0.2">
      <c r="A217" s="24">
        <v>220</v>
      </c>
      <c r="B217" s="24" t="s">
        <v>273</v>
      </c>
      <c r="C217">
        <v>39.835760000000001</v>
      </c>
      <c r="D217">
        <v>-109.61202</v>
      </c>
      <c r="E217" t="s">
        <v>360</v>
      </c>
      <c r="F217" t="s">
        <v>367</v>
      </c>
      <c r="G217" t="s">
        <v>297</v>
      </c>
      <c r="H217" t="s">
        <v>297</v>
      </c>
      <c r="I217">
        <v>3</v>
      </c>
      <c r="J217">
        <v>3</v>
      </c>
      <c r="K217">
        <v>0</v>
      </c>
      <c r="L217">
        <f t="shared" si="6"/>
        <v>3</v>
      </c>
      <c r="M217">
        <f t="shared" si="7"/>
        <v>1</v>
      </c>
      <c r="N217">
        <v>3</v>
      </c>
      <c r="P217" s="2" t="s">
        <v>60</v>
      </c>
      <c r="Q217" s="4" t="s">
        <v>9</v>
      </c>
      <c r="R217" s="2"/>
      <c r="S217" t="s">
        <v>68</v>
      </c>
    </row>
    <row r="218" spans="1:19" x14ac:dyDescent="0.2">
      <c r="A218" s="24">
        <v>221</v>
      </c>
      <c r="B218" s="24" t="s">
        <v>274</v>
      </c>
      <c r="C218">
        <v>40.480804999999997</v>
      </c>
      <c r="D218">
        <v>-109.43822900000001</v>
      </c>
      <c r="E218" t="s">
        <v>362</v>
      </c>
      <c r="F218" t="s">
        <v>367</v>
      </c>
      <c r="G218" t="s">
        <v>297</v>
      </c>
      <c r="H218" t="s">
        <v>297</v>
      </c>
      <c r="I218">
        <v>3</v>
      </c>
      <c r="J218">
        <v>3</v>
      </c>
      <c r="K218">
        <v>0</v>
      </c>
      <c r="L218">
        <f t="shared" si="6"/>
        <v>3</v>
      </c>
      <c r="M218">
        <f t="shared" si="7"/>
        <v>1</v>
      </c>
      <c r="N218">
        <v>3</v>
      </c>
      <c r="P218" s="2" t="s">
        <v>58</v>
      </c>
      <c r="Q218" s="4" t="s">
        <v>293</v>
      </c>
      <c r="R218" s="2"/>
    </row>
    <row r="219" spans="1:19" x14ac:dyDescent="0.2">
      <c r="A219" s="24">
        <v>222</v>
      </c>
      <c r="B219" s="24" t="s">
        <v>275</v>
      </c>
      <c r="C219">
        <v>40.533605000000001</v>
      </c>
      <c r="D219">
        <v>-109.52356399999999</v>
      </c>
      <c r="E219" t="s">
        <v>362</v>
      </c>
      <c r="F219" t="s">
        <v>367</v>
      </c>
      <c r="G219" t="s">
        <v>297</v>
      </c>
      <c r="H219" t="s">
        <v>297</v>
      </c>
      <c r="I219">
        <v>3</v>
      </c>
      <c r="J219">
        <v>3</v>
      </c>
      <c r="K219">
        <v>0</v>
      </c>
      <c r="L219">
        <f t="shared" si="6"/>
        <v>3</v>
      </c>
      <c r="M219">
        <f t="shared" si="7"/>
        <v>1</v>
      </c>
      <c r="N219">
        <v>3</v>
      </c>
      <c r="P219" s="2" t="s">
        <v>58</v>
      </c>
      <c r="Q219" s="4" t="s">
        <v>293</v>
      </c>
      <c r="R219" s="2"/>
    </row>
    <row r="220" spans="1:19" x14ac:dyDescent="0.2">
      <c r="A220" s="24">
        <v>223</v>
      </c>
      <c r="B220" s="24" t="s">
        <v>276</v>
      </c>
      <c r="C220">
        <v>40.640878000000001</v>
      </c>
      <c r="D220">
        <v>-109.48689</v>
      </c>
      <c r="E220" t="s">
        <v>362</v>
      </c>
      <c r="F220" t="s">
        <v>367</v>
      </c>
      <c r="G220" t="s">
        <v>297</v>
      </c>
      <c r="H220" t="s">
        <v>297</v>
      </c>
      <c r="I220">
        <v>3</v>
      </c>
      <c r="J220">
        <v>3</v>
      </c>
      <c r="K220">
        <v>1</v>
      </c>
      <c r="L220">
        <f t="shared" si="6"/>
        <v>2</v>
      </c>
      <c r="M220">
        <f t="shared" si="7"/>
        <v>0.66666666666666663</v>
      </c>
      <c r="N220">
        <v>2</v>
      </c>
      <c r="P220" s="2" t="s">
        <v>58</v>
      </c>
      <c r="Q220" s="4" t="s">
        <v>293</v>
      </c>
      <c r="R220" s="2"/>
    </row>
    <row r="221" spans="1:19" x14ac:dyDescent="0.2">
      <c r="A221" s="24">
        <v>224</v>
      </c>
      <c r="B221" s="24" t="s">
        <v>277</v>
      </c>
      <c r="C221">
        <v>43.472083300000001</v>
      </c>
      <c r="D221">
        <v>-116.2338306</v>
      </c>
      <c r="E221" t="s">
        <v>362</v>
      </c>
      <c r="F221" t="s">
        <v>367</v>
      </c>
      <c r="G221" t="s">
        <v>297</v>
      </c>
      <c r="H221" t="s">
        <v>297</v>
      </c>
      <c r="I221">
        <v>3</v>
      </c>
      <c r="J221">
        <v>3</v>
      </c>
      <c r="K221">
        <v>0</v>
      </c>
      <c r="L221">
        <f t="shared" si="6"/>
        <v>3</v>
      </c>
      <c r="M221">
        <f t="shared" si="7"/>
        <v>1</v>
      </c>
      <c r="N221">
        <v>3</v>
      </c>
      <c r="P221" s="2" t="s">
        <v>58</v>
      </c>
      <c r="Q221" s="4" t="s">
        <v>293</v>
      </c>
      <c r="R221" s="2"/>
    </row>
    <row r="222" spans="1:19" x14ac:dyDescent="0.2">
      <c r="A222" s="24">
        <v>225</v>
      </c>
      <c r="B222" s="25" t="s">
        <v>13</v>
      </c>
      <c r="C222">
        <v>51.941299999999998</v>
      </c>
      <c r="D222">
        <v>-122.2757</v>
      </c>
      <c r="E222" t="s">
        <v>362</v>
      </c>
      <c r="F222" t="s">
        <v>367</v>
      </c>
      <c r="G222" t="s">
        <v>14</v>
      </c>
      <c r="H222" s="1">
        <v>44047</v>
      </c>
      <c r="I222">
        <v>3</v>
      </c>
      <c r="J222">
        <v>3</v>
      </c>
      <c r="K222">
        <v>0</v>
      </c>
      <c r="L222">
        <f t="shared" si="6"/>
        <v>3</v>
      </c>
      <c r="M222">
        <f t="shared" si="7"/>
        <v>1</v>
      </c>
      <c r="N222">
        <v>3</v>
      </c>
      <c r="P222" s="2" t="s">
        <v>58</v>
      </c>
      <c r="Q222" s="4" t="s">
        <v>293</v>
      </c>
      <c r="R222" s="2"/>
    </row>
    <row r="223" spans="1:19" x14ac:dyDescent="0.2">
      <c r="A223" s="24">
        <v>226</v>
      </c>
      <c r="B223" s="25" t="s">
        <v>10</v>
      </c>
      <c r="C223">
        <v>50.7532</v>
      </c>
      <c r="D223">
        <v>-120.86960000000001</v>
      </c>
      <c r="E223" t="s">
        <v>362</v>
      </c>
      <c r="F223" t="s">
        <v>367</v>
      </c>
      <c r="G223" t="s">
        <v>14</v>
      </c>
      <c r="H223" s="1">
        <v>44042</v>
      </c>
      <c r="I223">
        <v>1</v>
      </c>
      <c r="J223">
        <v>1</v>
      </c>
      <c r="K223">
        <v>1</v>
      </c>
      <c r="L223">
        <f t="shared" si="6"/>
        <v>0</v>
      </c>
      <c r="M223">
        <f t="shared" si="7"/>
        <v>0</v>
      </c>
      <c r="N223">
        <v>0</v>
      </c>
      <c r="O223">
        <v>0</v>
      </c>
      <c r="P223" s="2" t="s">
        <v>60</v>
      </c>
      <c r="Q223" s="4" t="s">
        <v>9</v>
      </c>
      <c r="R223" s="2"/>
      <c r="S223" t="s">
        <v>68</v>
      </c>
    </row>
    <row r="224" spans="1:19" x14ac:dyDescent="0.2">
      <c r="A224" s="24">
        <v>227</v>
      </c>
      <c r="B224" s="25" t="s">
        <v>11</v>
      </c>
      <c r="C224">
        <v>51.626117000000001</v>
      </c>
      <c r="D224">
        <v>-120.082572</v>
      </c>
      <c r="E224" t="s">
        <v>362</v>
      </c>
      <c r="F224" t="s">
        <v>367</v>
      </c>
      <c r="G224" t="s">
        <v>14</v>
      </c>
      <c r="H224" s="1">
        <v>44058</v>
      </c>
      <c r="I224">
        <v>1</v>
      </c>
      <c r="J224">
        <v>1</v>
      </c>
      <c r="K224">
        <v>0</v>
      </c>
      <c r="L224">
        <f t="shared" si="6"/>
        <v>1</v>
      </c>
      <c r="M224">
        <f t="shared" si="7"/>
        <v>1</v>
      </c>
      <c r="N224">
        <v>1</v>
      </c>
      <c r="O224">
        <v>1</v>
      </c>
      <c r="P224" s="2" t="s">
        <v>60</v>
      </c>
      <c r="Q224" s="4" t="s">
        <v>9</v>
      </c>
      <c r="R224" s="2"/>
      <c r="S224" t="s">
        <v>68</v>
      </c>
    </row>
    <row r="225" spans="1:19" x14ac:dyDescent="0.2">
      <c r="A225" s="26">
        <v>228</v>
      </c>
      <c r="B225" s="27" t="s">
        <v>12</v>
      </c>
      <c r="C225" s="8">
        <v>49.094999999999999</v>
      </c>
      <c r="D225" s="8">
        <v>-119.52500000000001</v>
      </c>
      <c r="E225" s="8" t="s">
        <v>362</v>
      </c>
      <c r="F225" s="8" t="s">
        <v>367</v>
      </c>
      <c r="G225" s="8" t="s">
        <v>15</v>
      </c>
      <c r="H225" s="9">
        <v>44040</v>
      </c>
      <c r="I225" s="8">
        <v>1</v>
      </c>
      <c r="J225" s="8">
        <v>1</v>
      </c>
      <c r="K225" s="8">
        <v>1</v>
      </c>
      <c r="L225">
        <f t="shared" si="6"/>
        <v>0</v>
      </c>
      <c r="M225">
        <f t="shared" si="7"/>
        <v>0</v>
      </c>
      <c r="N225" s="8">
        <v>0</v>
      </c>
      <c r="O225" s="8">
        <v>0</v>
      </c>
      <c r="P225" s="10" t="s">
        <v>60</v>
      </c>
      <c r="Q225" s="11" t="s">
        <v>9</v>
      </c>
      <c r="R225" s="10"/>
      <c r="S225" s="8" t="s">
        <v>68</v>
      </c>
    </row>
    <row r="226" spans="1:19" x14ac:dyDescent="0.2">
      <c r="A226" s="25">
        <v>229</v>
      </c>
      <c r="B226" s="25" t="s">
        <v>278</v>
      </c>
      <c r="C226">
        <v>48.696113799999999</v>
      </c>
      <c r="D226">
        <v>10.925477900000001</v>
      </c>
      <c r="E226" t="s">
        <v>363</v>
      </c>
      <c r="F226" t="s">
        <v>368</v>
      </c>
      <c r="G226" t="s">
        <v>340</v>
      </c>
      <c r="H226" s="1">
        <v>44034</v>
      </c>
      <c r="I226">
        <v>3</v>
      </c>
      <c r="J226">
        <v>3</v>
      </c>
      <c r="L226">
        <f t="shared" si="6"/>
        <v>3</v>
      </c>
      <c r="M226">
        <f t="shared" si="7"/>
        <v>1</v>
      </c>
      <c r="N226" s="2" t="s">
        <v>386</v>
      </c>
      <c r="O226" s="2"/>
      <c r="P226" s="2" t="s">
        <v>58</v>
      </c>
      <c r="Q226" s="4" t="s">
        <v>293</v>
      </c>
      <c r="R226" s="2"/>
    </row>
    <row r="227" spans="1:19" x14ac:dyDescent="0.2">
      <c r="A227" s="25">
        <v>230</v>
      </c>
      <c r="B227" s="25" t="s">
        <v>279</v>
      </c>
      <c r="C227">
        <v>48.562989000000002</v>
      </c>
      <c r="D227">
        <v>11.257031</v>
      </c>
      <c r="E227" t="s">
        <v>363</v>
      </c>
      <c r="F227" t="s">
        <v>368</v>
      </c>
      <c r="G227" t="s">
        <v>340</v>
      </c>
      <c r="H227" s="1">
        <v>44035</v>
      </c>
      <c r="I227">
        <v>3</v>
      </c>
      <c r="J227">
        <v>2</v>
      </c>
      <c r="L227">
        <f t="shared" si="6"/>
        <v>2</v>
      </c>
      <c r="M227">
        <f t="shared" si="7"/>
        <v>1</v>
      </c>
      <c r="N227" s="2" t="s">
        <v>386</v>
      </c>
      <c r="O227" s="2"/>
      <c r="P227" s="2" t="s">
        <v>60</v>
      </c>
      <c r="Q227" s="4" t="s">
        <v>9</v>
      </c>
      <c r="R227" s="2">
        <v>2</v>
      </c>
      <c r="S227" t="s">
        <v>68</v>
      </c>
    </row>
    <row r="228" spans="1:19" x14ac:dyDescent="0.2">
      <c r="A228" s="25">
        <v>231</v>
      </c>
      <c r="B228" s="25" t="s">
        <v>280</v>
      </c>
      <c r="C228">
        <v>48.838452500000002</v>
      </c>
      <c r="D228">
        <v>10.8461493</v>
      </c>
      <c r="E228" t="s">
        <v>363</v>
      </c>
      <c r="F228" t="s">
        <v>368</v>
      </c>
      <c r="G228" t="s">
        <v>340</v>
      </c>
      <c r="H228" s="1">
        <v>44036</v>
      </c>
      <c r="I228">
        <v>3</v>
      </c>
      <c r="J228">
        <v>3</v>
      </c>
      <c r="L228">
        <f t="shared" si="6"/>
        <v>3</v>
      </c>
      <c r="M228">
        <f t="shared" si="7"/>
        <v>1</v>
      </c>
      <c r="N228" s="2" t="s">
        <v>386</v>
      </c>
      <c r="O228" s="2"/>
      <c r="P228" s="2" t="s">
        <v>58</v>
      </c>
      <c r="Q228" s="4" t="s">
        <v>293</v>
      </c>
      <c r="R228" s="2"/>
    </row>
    <row r="229" spans="1:19" x14ac:dyDescent="0.2">
      <c r="A229" s="25">
        <v>232</v>
      </c>
      <c r="B229" s="25" t="s">
        <v>281</v>
      </c>
      <c r="C229">
        <v>40.421896199999999</v>
      </c>
      <c r="D229">
        <v>-3.9482474999999999</v>
      </c>
      <c r="E229" t="s">
        <v>363</v>
      </c>
      <c r="F229" t="s">
        <v>368</v>
      </c>
      <c r="G229" t="s">
        <v>340</v>
      </c>
      <c r="H229" s="1">
        <v>44022</v>
      </c>
      <c r="I229">
        <v>3</v>
      </c>
      <c r="J229">
        <v>3</v>
      </c>
      <c r="L229">
        <f t="shared" si="6"/>
        <v>3</v>
      </c>
      <c r="M229">
        <f t="shared" si="7"/>
        <v>1</v>
      </c>
      <c r="N229" s="2" t="s">
        <v>386</v>
      </c>
      <c r="O229" s="2"/>
      <c r="P229" s="2" t="s">
        <v>58</v>
      </c>
      <c r="Q229" s="4" t="s">
        <v>293</v>
      </c>
      <c r="R229" s="2"/>
    </row>
    <row r="230" spans="1:19" x14ac:dyDescent="0.2">
      <c r="A230" s="25">
        <v>233</v>
      </c>
      <c r="B230" s="25" t="s">
        <v>282</v>
      </c>
      <c r="C230">
        <v>40.506560100000002</v>
      </c>
      <c r="D230">
        <v>-3.7705128000000001</v>
      </c>
      <c r="E230" t="s">
        <v>363</v>
      </c>
      <c r="F230" t="s">
        <v>368</v>
      </c>
      <c r="G230" t="s">
        <v>340</v>
      </c>
      <c r="H230" s="1">
        <v>44022</v>
      </c>
      <c r="I230">
        <v>3</v>
      </c>
      <c r="J230">
        <v>3</v>
      </c>
      <c r="L230">
        <f t="shared" si="6"/>
        <v>3</v>
      </c>
      <c r="M230">
        <f t="shared" si="7"/>
        <v>1</v>
      </c>
      <c r="N230" s="2" t="s">
        <v>386</v>
      </c>
      <c r="O230" s="2"/>
      <c r="P230" s="2" t="s">
        <v>58</v>
      </c>
      <c r="Q230" s="4" t="s">
        <v>293</v>
      </c>
      <c r="R230" s="2"/>
    </row>
    <row r="231" spans="1:19" x14ac:dyDescent="0.2">
      <c r="A231" s="25">
        <v>234</v>
      </c>
      <c r="B231" s="25" t="s">
        <v>283</v>
      </c>
      <c r="C231">
        <v>50.821111000000002</v>
      </c>
      <c r="D231">
        <v>26.022221999999999</v>
      </c>
      <c r="E231" t="s">
        <v>363</v>
      </c>
      <c r="F231" t="s">
        <v>368</v>
      </c>
      <c r="G231" t="s">
        <v>341</v>
      </c>
      <c r="H231" s="1" t="s">
        <v>297</v>
      </c>
      <c r="I231">
        <v>3</v>
      </c>
      <c r="J231">
        <v>3</v>
      </c>
      <c r="L231">
        <f t="shared" si="6"/>
        <v>3</v>
      </c>
      <c r="M231">
        <f t="shared" si="7"/>
        <v>1</v>
      </c>
      <c r="N231" s="2" t="s">
        <v>386</v>
      </c>
      <c r="O231" s="2"/>
      <c r="P231" s="2" t="s">
        <v>58</v>
      </c>
      <c r="Q231" s="4" t="s">
        <v>293</v>
      </c>
      <c r="R231" s="2"/>
    </row>
    <row r="232" spans="1:19" x14ac:dyDescent="0.2">
      <c r="A232" s="25">
        <v>235</v>
      </c>
      <c r="B232" s="25" t="s">
        <v>284</v>
      </c>
      <c r="C232">
        <v>50.708055999999999</v>
      </c>
      <c r="D232">
        <v>26.567499999999999</v>
      </c>
      <c r="E232" t="s">
        <v>363</v>
      </c>
      <c r="F232" t="s">
        <v>368</v>
      </c>
      <c r="G232" t="s">
        <v>341</v>
      </c>
      <c r="H232" s="1" t="s">
        <v>297</v>
      </c>
      <c r="I232">
        <v>3</v>
      </c>
      <c r="J232">
        <v>3</v>
      </c>
      <c r="L232">
        <f t="shared" si="6"/>
        <v>3</v>
      </c>
      <c r="M232">
        <f t="shared" si="7"/>
        <v>1</v>
      </c>
      <c r="N232" s="2" t="s">
        <v>386</v>
      </c>
      <c r="O232" s="2"/>
      <c r="P232" s="2" t="s">
        <v>58</v>
      </c>
      <c r="Q232" s="4" t="s">
        <v>293</v>
      </c>
      <c r="R232" s="2"/>
    </row>
    <row r="233" spans="1:19" x14ac:dyDescent="0.2">
      <c r="A233" s="25">
        <v>236</v>
      </c>
      <c r="B233" s="25" t="s">
        <v>285</v>
      </c>
      <c r="C233">
        <v>47.388635999999998</v>
      </c>
      <c r="D233">
        <v>8.5881179999999997</v>
      </c>
      <c r="E233" t="s">
        <v>363</v>
      </c>
      <c r="F233" t="s">
        <v>368</v>
      </c>
      <c r="G233" t="s">
        <v>340</v>
      </c>
      <c r="H233" s="1">
        <v>44071</v>
      </c>
      <c r="I233">
        <v>3</v>
      </c>
      <c r="J233">
        <v>3</v>
      </c>
      <c r="L233">
        <f t="shared" si="6"/>
        <v>3</v>
      </c>
      <c r="M233">
        <f t="shared" si="7"/>
        <v>1</v>
      </c>
      <c r="N233" s="2" t="s">
        <v>386</v>
      </c>
      <c r="O233" s="2"/>
      <c r="P233" s="2" t="s">
        <v>58</v>
      </c>
      <c r="Q233" s="4" t="s">
        <v>293</v>
      </c>
      <c r="R233" s="2"/>
    </row>
    <row r="234" spans="1:19" x14ac:dyDescent="0.2">
      <c r="A234" s="25">
        <v>237</v>
      </c>
      <c r="B234" s="25" t="s">
        <v>286</v>
      </c>
      <c r="C234">
        <v>42.968145999999997</v>
      </c>
      <c r="D234">
        <v>-121.573903</v>
      </c>
      <c r="E234" t="s">
        <v>362</v>
      </c>
      <c r="F234" t="s">
        <v>367</v>
      </c>
      <c r="G234" t="s">
        <v>342</v>
      </c>
      <c r="H234" s="1">
        <v>44011</v>
      </c>
      <c r="I234">
        <v>3</v>
      </c>
      <c r="J234">
        <v>3</v>
      </c>
      <c r="L234">
        <f t="shared" si="6"/>
        <v>3</v>
      </c>
      <c r="M234">
        <f t="shared" si="7"/>
        <v>1</v>
      </c>
      <c r="N234" s="2" t="s">
        <v>386</v>
      </c>
      <c r="O234" s="2"/>
      <c r="P234" s="2" t="s">
        <v>58</v>
      </c>
      <c r="Q234" s="4" t="s">
        <v>293</v>
      </c>
      <c r="R234" s="2"/>
      <c r="S234" t="s">
        <v>287</v>
      </c>
    </row>
    <row r="235" spans="1:19" x14ac:dyDescent="0.2">
      <c r="A235" s="25">
        <v>238</v>
      </c>
      <c r="B235" s="25" t="s">
        <v>288</v>
      </c>
      <c r="C235" t="s">
        <v>297</v>
      </c>
      <c r="D235" t="s">
        <v>297</v>
      </c>
      <c r="E235" t="s">
        <v>297</v>
      </c>
      <c r="F235" t="s">
        <v>297</v>
      </c>
      <c r="G235" t="s">
        <v>297</v>
      </c>
      <c r="H235" t="s">
        <v>297</v>
      </c>
      <c r="I235">
        <v>3</v>
      </c>
      <c r="J235">
        <v>3</v>
      </c>
      <c r="L235">
        <f t="shared" si="6"/>
        <v>3</v>
      </c>
      <c r="M235">
        <f t="shared" si="7"/>
        <v>1</v>
      </c>
      <c r="N235" s="2" t="s">
        <v>386</v>
      </c>
      <c r="O235" s="2"/>
      <c r="P235" s="2" t="s">
        <v>58</v>
      </c>
      <c r="Q235" s="4" t="s">
        <v>9</v>
      </c>
      <c r="R235" s="2"/>
      <c r="S235" t="s">
        <v>343</v>
      </c>
    </row>
    <row r="236" spans="1:19" x14ac:dyDescent="0.2">
      <c r="A236" s="25">
        <v>239</v>
      </c>
      <c r="B236" s="25" t="s">
        <v>289</v>
      </c>
      <c r="C236" t="s">
        <v>297</v>
      </c>
      <c r="D236" t="s">
        <v>297</v>
      </c>
      <c r="E236" t="s">
        <v>297</v>
      </c>
      <c r="F236" t="s">
        <v>297</v>
      </c>
      <c r="G236" t="s">
        <v>297</v>
      </c>
      <c r="H236" t="s">
        <v>297</v>
      </c>
      <c r="I236">
        <v>3</v>
      </c>
      <c r="J236">
        <v>3</v>
      </c>
      <c r="L236">
        <f t="shared" si="6"/>
        <v>3</v>
      </c>
      <c r="M236">
        <f t="shared" si="7"/>
        <v>1</v>
      </c>
      <c r="N236" s="2" t="s">
        <v>386</v>
      </c>
      <c r="O236" s="2"/>
      <c r="P236" s="2" t="s">
        <v>58</v>
      </c>
      <c r="Q236" s="4" t="s">
        <v>293</v>
      </c>
      <c r="R236" s="2"/>
      <c r="S236" t="s">
        <v>344</v>
      </c>
    </row>
    <row r="237" spans="1:19" ht="17" thickBot="1" x14ac:dyDescent="0.25">
      <c r="A237" s="25">
        <v>250</v>
      </c>
      <c r="B237" s="25" t="s">
        <v>292</v>
      </c>
      <c r="C237" t="s">
        <v>297</v>
      </c>
      <c r="D237" t="s">
        <v>297</v>
      </c>
      <c r="E237" t="s">
        <v>297</v>
      </c>
      <c r="F237" t="s">
        <v>297</v>
      </c>
      <c r="G237" t="s">
        <v>297</v>
      </c>
      <c r="H237" t="s">
        <v>297</v>
      </c>
      <c r="I237">
        <v>3</v>
      </c>
      <c r="J237">
        <v>3</v>
      </c>
      <c r="L237">
        <f t="shared" si="6"/>
        <v>3</v>
      </c>
      <c r="M237">
        <f t="shared" si="7"/>
        <v>1</v>
      </c>
      <c r="N237" s="2" t="s">
        <v>386</v>
      </c>
      <c r="P237" s="13" t="s">
        <v>58</v>
      </c>
      <c r="Q237" s="14" t="s">
        <v>293</v>
      </c>
      <c r="R237" s="13"/>
      <c r="S237" s="15" t="s">
        <v>345</v>
      </c>
    </row>
    <row r="238" spans="1:19" x14ac:dyDescent="0.2">
      <c r="P238">
        <f>COUNTIF(P2:P237,P237)</f>
        <v>211</v>
      </c>
      <c r="Q238">
        <f>COUNTIF(Q2:Q237,Q237)</f>
        <v>200</v>
      </c>
      <c r="R238" s="2"/>
      <c r="S238">
        <f>COUNTIF(S2:S237,S107)</f>
        <v>6</v>
      </c>
    </row>
    <row r="239" spans="1:19" x14ac:dyDescent="0.2">
      <c r="Q239" s="4"/>
      <c r="R239" s="2"/>
    </row>
    <row r="240" spans="1:19" x14ac:dyDescent="0.2">
      <c r="Q240" s="4"/>
      <c r="R240" s="2"/>
    </row>
    <row r="241" spans="17:18" x14ac:dyDescent="0.2">
      <c r="Q241" s="4"/>
      <c r="R241" s="2"/>
    </row>
    <row r="242" spans="17:18" x14ac:dyDescent="0.2">
      <c r="R242" s="2"/>
    </row>
    <row r="243" spans="17:18" x14ac:dyDescent="0.2">
      <c r="R243" s="2"/>
    </row>
    <row r="244" spans="17:18" x14ac:dyDescent="0.2">
      <c r="R244" s="2"/>
    </row>
  </sheetData>
  <conditionalFormatting sqref="A2:A237 U2:U15">
    <cfRule type="duplicateValues" dxfId="2" priority="3"/>
  </conditionalFormatting>
  <conditionalFormatting sqref="B2:B237 V2:V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D06B-1D82-B149-90CA-8570EF015DEA}">
  <dimension ref="A1:K318"/>
  <sheetViews>
    <sheetView workbookViewId="0">
      <selection activeCell="A35" sqref="A35"/>
    </sheetView>
  </sheetViews>
  <sheetFormatPr baseColWidth="10" defaultRowHeight="16" x14ac:dyDescent="0.2"/>
  <cols>
    <col min="1" max="1" width="17.33203125" customWidth="1"/>
    <col min="2" max="2" width="14.33203125" bestFit="1" customWidth="1"/>
    <col min="3" max="3" width="15.33203125" bestFit="1" customWidth="1"/>
    <col min="4" max="5" width="10.83203125" style="12"/>
    <col min="8" max="11" width="10.83203125" style="7"/>
  </cols>
  <sheetData>
    <row r="1" spans="1:11" x14ac:dyDescent="0.2">
      <c r="A1" s="3" t="s">
        <v>0</v>
      </c>
      <c r="B1" t="s">
        <v>1</v>
      </c>
      <c r="C1" t="s">
        <v>2</v>
      </c>
      <c r="D1" s="12" t="s">
        <v>358</v>
      </c>
      <c r="E1" s="12" t="s">
        <v>359</v>
      </c>
      <c r="F1" s="5" t="s">
        <v>430</v>
      </c>
      <c r="G1" t="s">
        <v>431</v>
      </c>
      <c r="H1"/>
      <c r="I1"/>
      <c r="J1"/>
      <c r="K1" s="5"/>
    </row>
    <row r="2" spans="1:11" x14ac:dyDescent="0.2">
      <c r="A2" s="3" t="s">
        <v>172</v>
      </c>
      <c r="B2">
        <v>49.71</v>
      </c>
      <c r="C2">
        <v>-120.05</v>
      </c>
      <c r="D2" s="12" t="s">
        <v>362</v>
      </c>
      <c r="E2" s="12" t="s">
        <v>367</v>
      </c>
      <c r="F2" s="4" t="s">
        <v>293</v>
      </c>
    </row>
    <row r="3" spans="1:11" x14ac:dyDescent="0.2">
      <c r="A3" s="3" t="s">
        <v>166</v>
      </c>
      <c r="B3">
        <v>49.94</v>
      </c>
      <c r="C3">
        <v>-119.51</v>
      </c>
      <c r="D3" s="12" t="s">
        <v>362</v>
      </c>
      <c r="E3" s="12" t="s">
        <v>367</v>
      </c>
      <c r="F3" s="4" t="s">
        <v>9</v>
      </c>
    </row>
    <row r="4" spans="1:11" x14ac:dyDescent="0.2">
      <c r="A4" s="3" t="s">
        <v>167</v>
      </c>
      <c r="B4">
        <v>50.08</v>
      </c>
      <c r="C4">
        <v>-120.65</v>
      </c>
      <c r="D4" s="12" t="s">
        <v>362</v>
      </c>
      <c r="E4" s="12" t="s">
        <v>367</v>
      </c>
      <c r="F4" s="4" t="s">
        <v>293</v>
      </c>
    </row>
    <row r="5" spans="1:11" x14ac:dyDescent="0.2">
      <c r="A5" s="3" t="s">
        <v>168</v>
      </c>
      <c r="B5">
        <v>50.09</v>
      </c>
      <c r="C5">
        <v>-120.45</v>
      </c>
      <c r="D5" s="12" t="s">
        <v>362</v>
      </c>
      <c r="E5" s="12" t="s">
        <v>367</v>
      </c>
      <c r="F5" s="4" t="s">
        <v>293</v>
      </c>
    </row>
    <row r="6" spans="1:11" x14ac:dyDescent="0.2">
      <c r="A6" s="3" t="s">
        <v>169</v>
      </c>
      <c r="B6">
        <v>50.09</v>
      </c>
      <c r="C6">
        <v>-120.75</v>
      </c>
      <c r="D6" s="12" t="s">
        <v>362</v>
      </c>
      <c r="E6" s="12" t="s">
        <v>367</v>
      </c>
      <c r="F6" s="4" t="s">
        <v>293</v>
      </c>
    </row>
    <row r="7" spans="1:11" x14ac:dyDescent="0.2">
      <c r="A7" s="3" t="s">
        <v>170</v>
      </c>
      <c r="B7">
        <v>49.57</v>
      </c>
      <c r="C7">
        <v>-120.55</v>
      </c>
      <c r="D7" s="12" t="s">
        <v>362</v>
      </c>
      <c r="E7" s="12" t="s">
        <v>367</v>
      </c>
      <c r="F7" s="4" t="s">
        <v>293</v>
      </c>
    </row>
    <row r="8" spans="1:11" x14ac:dyDescent="0.2">
      <c r="A8" s="3" t="s">
        <v>171</v>
      </c>
      <c r="B8">
        <v>49.62</v>
      </c>
      <c r="C8">
        <v>-119.8</v>
      </c>
      <c r="D8" s="12" t="s">
        <v>362</v>
      </c>
      <c r="E8" s="12" t="s">
        <v>367</v>
      </c>
      <c r="F8" s="4" t="s">
        <v>293</v>
      </c>
    </row>
    <row r="9" spans="1:11" x14ac:dyDescent="0.2">
      <c r="A9" s="3" t="s">
        <v>416</v>
      </c>
      <c r="B9">
        <v>43.31</v>
      </c>
      <c r="C9">
        <v>-112.27</v>
      </c>
      <c r="D9" s="12" t="s">
        <v>362</v>
      </c>
      <c r="E9" s="12" t="s">
        <v>367</v>
      </c>
      <c r="F9" s="4" t="s">
        <v>293</v>
      </c>
    </row>
    <row r="10" spans="1:11" x14ac:dyDescent="0.2">
      <c r="A10" s="3" t="s">
        <v>176</v>
      </c>
      <c r="B10">
        <v>38.83</v>
      </c>
      <c r="C10">
        <v>-112.05</v>
      </c>
      <c r="D10" s="12" t="s">
        <v>360</v>
      </c>
      <c r="E10" s="12" t="s">
        <v>367</v>
      </c>
      <c r="F10" s="4" t="s">
        <v>293</v>
      </c>
    </row>
    <row r="11" spans="1:11" x14ac:dyDescent="0.2">
      <c r="A11" s="3" t="s">
        <v>177</v>
      </c>
      <c r="B11">
        <v>41.44</v>
      </c>
      <c r="C11">
        <v>-111.08</v>
      </c>
      <c r="D11" s="12" t="s">
        <v>362</v>
      </c>
      <c r="E11" s="12" t="s">
        <v>367</v>
      </c>
      <c r="F11" s="4" t="s">
        <v>293</v>
      </c>
      <c r="K11"/>
    </row>
    <row r="12" spans="1:11" x14ac:dyDescent="0.2">
      <c r="A12" s="3" t="s">
        <v>178</v>
      </c>
      <c r="B12">
        <v>41.81</v>
      </c>
      <c r="C12">
        <v>-111.25</v>
      </c>
      <c r="D12" s="12" t="s">
        <v>362</v>
      </c>
      <c r="E12" s="12" t="s">
        <v>367</v>
      </c>
      <c r="F12" s="4" t="s">
        <v>293</v>
      </c>
    </row>
    <row r="13" spans="1:11" x14ac:dyDescent="0.2">
      <c r="A13" s="3" t="s">
        <v>179</v>
      </c>
      <c r="B13">
        <v>41.78</v>
      </c>
      <c r="C13">
        <v>-110.2</v>
      </c>
      <c r="D13" s="12" t="s">
        <v>362</v>
      </c>
      <c r="E13" s="12" t="s">
        <v>367</v>
      </c>
      <c r="F13" s="4" t="s">
        <v>293</v>
      </c>
    </row>
    <row r="14" spans="1:11" x14ac:dyDescent="0.2">
      <c r="A14" s="3" t="s">
        <v>180</v>
      </c>
      <c r="B14">
        <v>41.44</v>
      </c>
      <c r="C14">
        <v>-110.11</v>
      </c>
      <c r="D14" s="12" t="s">
        <v>362</v>
      </c>
      <c r="E14" s="12" t="s">
        <v>367</v>
      </c>
      <c r="F14" s="4" t="s">
        <v>293</v>
      </c>
    </row>
    <row r="15" spans="1:11" x14ac:dyDescent="0.2">
      <c r="A15" s="3" t="s">
        <v>181</v>
      </c>
      <c r="B15">
        <v>40.86</v>
      </c>
      <c r="C15">
        <v>-114.22</v>
      </c>
      <c r="D15" s="12" t="s">
        <v>362</v>
      </c>
      <c r="E15" s="12" t="s">
        <v>367</v>
      </c>
      <c r="F15" s="4" t="s">
        <v>293</v>
      </c>
    </row>
    <row r="16" spans="1:11" x14ac:dyDescent="0.2">
      <c r="A16" s="3" t="s">
        <v>173</v>
      </c>
      <c r="B16">
        <v>41.05</v>
      </c>
      <c r="C16">
        <v>-112.25</v>
      </c>
      <c r="D16" s="12" t="s">
        <v>362</v>
      </c>
      <c r="E16" s="12" t="s">
        <v>367</v>
      </c>
      <c r="F16" s="4" t="s">
        <v>293</v>
      </c>
    </row>
    <row r="17" spans="1:6" x14ac:dyDescent="0.2">
      <c r="A17" s="3" t="s">
        <v>175</v>
      </c>
      <c r="B17">
        <v>40.79</v>
      </c>
      <c r="C17">
        <v>-111.87</v>
      </c>
      <c r="D17" s="12" t="s">
        <v>362</v>
      </c>
      <c r="E17" s="12" t="s">
        <v>367</v>
      </c>
      <c r="F17" s="4" t="s">
        <v>293</v>
      </c>
    </row>
    <row r="18" spans="1:6" x14ac:dyDescent="0.2">
      <c r="A18" t="s">
        <v>44</v>
      </c>
      <c r="B18">
        <v>40.876562999999997</v>
      </c>
      <c r="C18">
        <v>-123.99717699999999</v>
      </c>
      <c r="D18" s="12" t="s">
        <v>362</v>
      </c>
      <c r="E18" s="12" t="s">
        <v>367</v>
      </c>
      <c r="F18" t="s">
        <v>9</v>
      </c>
    </row>
    <row r="19" spans="1:6" x14ac:dyDescent="0.2">
      <c r="A19" s="16" t="s">
        <v>404</v>
      </c>
      <c r="B19" s="16">
        <v>38.8157</v>
      </c>
      <c r="C19" s="16">
        <v>-106.08334000000001</v>
      </c>
      <c r="D19" s="12" t="s">
        <v>360</v>
      </c>
      <c r="E19" s="12" t="s">
        <v>367</v>
      </c>
      <c r="F19" t="s">
        <v>9</v>
      </c>
    </row>
    <row r="20" spans="1:6" x14ac:dyDescent="0.2">
      <c r="A20" s="16" t="s">
        <v>20</v>
      </c>
      <c r="B20" s="16">
        <v>56.105421</v>
      </c>
      <c r="C20" s="16">
        <v>37.396155</v>
      </c>
      <c r="D20" s="12" t="s">
        <v>363</v>
      </c>
      <c r="E20" s="12" t="s">
        <v>368</v>
      </c>
      <c r="F20" t="s">
        <v>9</v>
      </c>
    </row>
    <row r="21" spans="1:6" x14ac:dyDescent="0.2">
      <c r="A21" t="s">
        <v>381</v>
      </c>
      <c r="B21">
        <v>52.963569444400001</v>
      </c>
      <c r="C21">
        <v>23.7797777778</v>
      </c>
      <c r="D21" s="12" t="s">
        <v>363</v>
      </c>
      <c r="E21" s="12" t="s">
        <v>368</v>
      </c>
      <c r="F21" t="s">
        <v>9</v>
      </c>
    </row>
    <row r="22" spans="1:6" x14ac:dyDescent="0.2">
      <c r="A22" s="3" t="s">
        <v>182</v>
      </c>
      <c r="B22">
        <v>43.48</v>
      </c>
      <c r="C22">
        <v>-110.74</v>
      </c>
      <c r="D22" s="12" t="s">
        <v>362</v>
      </c>
      <c r="E22" s="12" t="s">
        <v>367</v>
      </c>
      <c r="F22" s="4" t="s">
        <v>293</v>
      </c>
    </row>
    <row r="23" spans="1:6" x14ac:dyDescent="0.2">
      <c r="A23" s="3" t="s">
        <v>183</v>
      </c>
      <c r="B23">
        <v>43.05</v>
      </c>
      <c r="C23">
        <v>-118.87</v>
      </c>
      <c r="D23" s="12" t="s">
        <v>362</v>
      </c>
      <c r="E23" s="12" t="s">
        <v>367</v>
      </c>
      <c r="F23" s="4" t="s">
        <v>293</v>
      </c>
    </row>
    <row r="24" spans="1:6" x14ac:dyDescent="0.2">
      <c r="A24" s="3" t="s">
        <v>184</v>
      </c>
      <c r="B24">
        <v>42.81</v>
      </c>
      <c r="C24">
        <v>-118.96</v>
      </c>
      <c r="D24" s="12" t="s">
        <v>362</v>
      </c>
      <c r="E24" s="12" t="s">
        <v>367</v>
      </c>
      <c r="F24" s="4" t="s">
        <v>293</v>
      </c>
    </row>
    <row r="25" spans="1:6" x14ac:dyDescent="0.2">
      <c r="A25" s="3" t="s">
        <v>185</v>
      </c>
      <c r="B25">
        <v>42.72</v>
      </c>
      <c r="C25">
        <v>-120.08</v>
      </c>
      <c r="D25" s="12" t="s">
        <v>362</v>
      </c>
      <c r="E25" s="12" t="s">
        <v>367</v>
      </c>
      <c r="F25" s="4" t="s">
        <v>293</v>
      </c>
    </row>
    <row r="26" spans="1:6" x14ac:dyDescent="0.2">
      <c r="A26" s="16" t="s">
        <v>19</v>
      </c>
      <c r="B26" s="16">
        <v>49.849071000000002</v>
      </c>
      <c r="C26" s="16">
        <v>8.6418009999999992</v>
      </c>
      <c r="D26" s="12" t="s">
        <v>363</v>
      </c>
      <c r="E26" s="12" t="s">
        <v>368</v>
      </c>
      <c r="F26" t="s">
        <v>9</v>
      </c>
    </row>
    <row r="27" spans="1:6" x14ac:dyDescent="0.2">
      <c r="A27" t="s">
        <v>372</v>
      </c>
      <c r="B27">
        <v>53.019391666700002</v>
      </c>
      <c r="C27">
        <v>18.5779</v>
      </c>
      <c r="D27" s="12" t="s">
        <v>363</v>
      </c>
      <c r="E27" s="12" t="s">
        <v>368</v>
      </c>
      <c r="F27" t="s">
        <v>9</v>
      </c>
    </row>
    <row r="28" spans="1:6" x14ac:dyDescent="0.2">
      <c r="A28" s="3" t="s">
        <v>89</v>
      </c>
      <c r="B28">
        <v>43.826132999999999</v>
      </c>
      <c r="C28">
        <v>-79.318091999999993</v>
      </c>
      <c r="D28" s="12" t="s">
        <v>361</v>
      </c>
      <c r="E28" s="12" t="s">
        <v>367</v>
      </c>
      <c r="F28" s="4" t="s">
        <v>293</v>
      </c>
    </row>
    <row r="29" spans="1:6" x14ac:dyDescent="0.2">
      <c r="A29" s="3" t="s">
        <v>186</v>
      </c>
      <c r="B29">
        <v>41.18</v>
      </c>
      <c r="C29">
        <v>-104.9</v>
      </c>
      <c r="D29" s="12" t="s">
        <v>362</v>
      </c>
      <c r="E29" s="12" t="s">
        <v>367</v>
      </c>
      <c r="F29" s="4" t="s">
        <v>293</v>
      </c>
    </row>
    <row r="30" spans="1:6" x14ac:dyDescent="0.2">
      <c r="A30" s="3" t="s">
        <v>191</v>
      </c>
      <c r="B30">
        <v>40.92</v>
      </c>
      <c r="C30">
        <v>-102.52</v>
      </c>
      <c r="D30" s="12" t="s">
        <v>362</v>
      </c>
      <c r="E30" s="12" t="s">
        <v>367</v>
      </c>
      <c r="F30" s="4" t="s">
        <v>293</v>
      </c>
    </row>
    <row r="31" spans="1:6" x14ac:dyDescent="0.2">
      <c r="A31" s="3" t="s">
        <v>187</v>
      </c>
      <c r="B31">
        <v>40.700000000000003</v>
      </c>
      <c r="C31">
        <v>-106.24</v>
      </c>
      <c r="D31" s="12" t="s">
        <v>362</v>
      </c>
      <c r="E31" s="12" t="s">
        <v>367</v>
      </c>
      <c r="F31" s="4" t="s">
        <v>293</v>
      </c>
    </row>
    <row r="32" spans="1:6" x14ac:dyDescent="0.2">
      <c r="A32" s="3" t="s">
        <v>189</v>
      </c>
      <c r="B32">
        <v>41.54</v>
      </c>
      <c r="C32">
        <v>-106.39</v>
      </c>
      <c r="D32" s="12" t="s">
        <v>362</v>
      </c>
      <c r="E32" s="12" t="s">
        <v>367</v>
      </c>
      <c r="F32" s="4" t="s">
        <v>293</v>
      </c>
    </row>
    <row r="33" spans="1:6" x14ac:dyDescent="0.2">
      <c r="A33" s="3" t="s">
        <v>190</v>
      </c>
      <c r="B33">
        <v>40.64</v>
      </c>
      <c r="C33">
        <v>-104.56</v>
      </c>
      <c r="D33" s="12" t="s">
        <v>362</v>
      </c>
      <c r="E33" s="12" t="s">
        <v>367</v>
      </c>
      <c r="F33" s="4" t="s">
        <v>293</v>
      </c>
    </row>
    <row r="34" spans="1:6" x14ac:dyDescent="0.2">
      <c r="A34" s="3" t="s">
        <v>192</v>
      </c>
      <c r="B34">
        <v>38.840000000000003</v>
      </c>
      <c r="C34">
        <v>-117.57</v>
      </c>
      <c r="D34" s="12" t="s">
        <v>360</v>
      </c>
      <c r="E34" s="12" t="s">
        <v>367</v>
      </c>
      <c r="F34" s="4" t="s">
        <v>293</v>
      </c>
    </row>
    <row r="35" spans="1:6" x14ac:dyDescent="0.2">
      <c r="A35" t="s">
        <v>392</v>
      </c>
      <c r="B35">
        <v>43.208481999999997</v>
      </c>
      <c r="C35">
        <v>-116.995198</v>
      </c>
      <c r="D35" s="12" t="s">
        <v>362</v>
      </c>
      <c r="E35" s="12" t="s">
        <v>367</v>
      </c>
      <c r="F35" t="s">
        <v>9</v>
      </c>
    </row>
    <row r="36" spans="1:6" x14ac:dyDescent="0.2">
      <c r="A36" t="s">
        <v>346</v>
      </c>
      <c r="B36" s="7">
        <v>42.484999999999999</v>
      </c>
      <c r="C36" s="7">
        <v>24.552800000000001</v>
      </c>
      <c r="D36" t="s">
        <v>363</v>
      </c>
      <c r="E36" s="12" t="s">
        <v>368</v>
      </c>
      <c r="F36" t="s">
        <v>293</v>
      </c>
    </row>
    <row r="37" spans="1:6" x14ac:dyDescent="0.2">
      <c r="A37" t="s">
        <v>347</v>
      </c>
      <c r="B37" s="7">
        <v>43.583399999999997</v>
      </c>
      <c r="C37" s="7">
        <v>77.244600000000005</v>
      </c>
      <c r="D37" t="s">
        <v>366</v>
      </c>
      <c r="E37" s="12" t="s">
        <v>368</v>
      </c>
      <c r="F37" t="s">
        <v>293</v>
      </c>
    </row>
    <row r="38" spans="1:6" x14ac:dyDescent="0.2">
      <c r="A38" t="s">
        <v>348</v>
      </c>
      <c r="B38" s="7">
        <v>37.407499999999999</v>
      </c>
      <c r="C38" s="7">
        <v>57.983899999999998</v>
      </c>
      <c r="D38" t="s">
        <v>366</v>
      </c>
      <c r="E38" s="12" t="s">
        <v>368</v>
      </c>
      <c r="F38" t="s">
        <v>293</v>
      </c>
    </row>
    <row r="39" spans="1:6" x14ac:dyDescent="0.2">
      <c r="A39" t="s">
        <v>351</v>
      </c>
      <c r="B39" s="7">
        <v>39.806399999999996</v>
      </c>
      <c r="C39" s="7">
        <v>44.971699999999998</v>
      </c>
      <c r="D39" s="23" t="s">
        <v>366</v>
      </c>
      <c r="E39" s="23" t="s">
        <v>368</v>
      </c>
      <c r="F39" t="s">
        <v>293</v>
      </c>
    </row>
    <row r="40" spans="1:6" x14ac:dyDescent="0.2">
      <c r="A40" t="s">
        <v>350</v>
      </c>
      <c r="B40" s="7">
        <v>39.889699999999998</v>
      </c>
      <c r="C40" s="7">
        <v>44.7333</v>
      </c>
      <c r="D40" s="23" t="s">
        <v>366</v>
      </c>
      <c r="E40" s="23" t="s">
        <v>368</v>
      </c>
      <c r="F40" t="s">
        <v>293</v>
      </c>
    </row>
    <row r="41" spans="1:6" x14ac:dyDescent="0.2">
      <c r="A41" s="3" t="s">
        <v>193</v>
      </c>
      <c r="B41">
        <v>35.229999999999997</v>
      </c>
      <c r="C41">
        <v>-111.62</v>
      </c>
      <c r="D41" s="12" t="s">
        <v>360</v>
      </c>
      <c r="E41" s="12" t="s">
        <v>367</v>
      </c>
      <c r="F41" s="4" t="s">
        <v>293</v>
      </c>
    </row>
    <row r="42" spans="1:6" x14ac:dyDescent="0.2">
      <c r="A42" t="s">
        <v>353</v>
      </c>
      <c r="B42" s="7">
        <v>40.872799999999998</v>
      </c>
      <c r="C42" s="7">
        <v>25.529699999999998</v>
      </c>
      <c r="D42" s="23" t="s">
        <v>364</v>
      </c>
      <c r="E42" s="23" t="s">
        <v>368</v>
      </c>
      <c r="F42" t="s">
        <v>293</v>
      </c>
    </row>
    <row r="43" spans="1:6" x14ac:dyDescent="0.2">
      <c r="A43" t="s">
        <v>352</v>
      </c>
      <c r="B43" s="7">
        <v>47.6494</v>
      </c>
      <c r="C43" s="7">
        <v>19.2925</v>
      </c>
      <c r="D43" s="23" t="s">
        <v>363</v>
      </c>
      <c r="E43" s="23" t="s">
        <v>368</v>
      </c>
      <c r="F43" t="s">
        <v>293</v>
      </c>
    </row>
    <row r="44" spans="1:6" x14ac:dyDescent="0.2">
      <c r="A44" t="s">
        <v>349</v>
      </c>
      <c r="B44" s="7">
        <v>36.239199999999997</v>
      </c>
      <c r="C44" s="7">
        <v>59.673299999999998</v>
      </c>
      <c r="D44" s="23" t="s">
        <v>366</v>
      </c>
      <c r="E44" s="23" t="s">
        <v>368</v>
      </c>
      <c r="F44" t="s">
        <v>293</v>
      </c>
    </row>
    <row r="45" spans="1:6" x14ac:dyDescent="0.2">
      <c r="A45" s="16" t="s">
        <v>36</v>
      </c>
      <c r="B45" s="16">
        <v>35.78389</v>
      </c>
      <c r="C45" s="16">
        <v>-80.261380000000003</v>
      </c>
      <c r="D45" s="12" t="s">
        <v>361</v>
      </c>
      <c r="E45" s="12" t="s">
        <v>367</v>
      </c>
      <c r="F45" t="s">
        <v>9</v>
      </c>
    </row>
    <row r="46" spans="1:6" x14ac:dyDescent="0.2">
      <c r="A46" t="s">
        <v>355</v>
      </c>
      <c r="B46" s="7">
        <v>52.743899999999996</v>
      </c>
      <c r="C46" s="7">
        <v>15.005800000000001</v>
      </c>
      <c r="D46" s="23" t="s">
        <v>363</v>
      </c>
      <c r="E46" s="23" t="s">
        <v>368</v>
      </c>
      <c r="F46" t="s">
        <v>293</v>
      </c>
    </row>
    <row r="47" spans="1:6" x14ac:dyDescent="0.2">
      <c r="A47" t="s">
        <v>356</v>
      </c>
      <c r="B47" s="7">
        <v>51.791699999999999</v>
      </c>
      <c r="C47" s="7">
        <v>16.298200000000001</v>
      </c>
      <c r="D47" s="23" t="s">
        <v>363</v>
      </c>
      <c r="E47" s="23" t="s">
        <v>368</v>
      </c>
      <c r="F47" t="s">
        <v>293</v>
      </c>
    </row>
    <row r="48" spans="1:6" x14ac:dyDescent="0.2">
      <c r="A48" t="s">
        <v>357</v>
      </c>
      <c r="B48" s="7">
        <v>41.214599999999997</v>
      </c>
      <c r="C48" s="7">
        <v>-2.48</v>
      </c>
      <c r="D48" s="23" t="s">
        <v>363</v>
      </c>
      <c r="E48" s="23" t="s">
        <v>368</v>
      </c>
      <c r="F48" t="s">
        <v>293</v>
      </c>
    </row>
    <row r="49" spans="1:6" x14ac:dyDescent="0.2">
      <c r="A49" t="s">
        <v>354</v>
      </c>
      <c r="B49" s="7">
        <v>50.435000000000002</v>
      </c>
      <c r="C49" s="7">
        <v>30.3855</v>
      </c>
      <c r="D49" s="23" t="s">
        <v>363</v>
      </c>
      <c r="E49" s="23" t="s">
        <v>368</v>
      </c>
      <c r="F49" t="s">
        <v>293</v>
      </c>
    </row>
    <row r="50" spans="1:6" x14ac:dyDescent="0.2">
      <c r="A50" t="s">
        <v>376</v>
      </c>
      <c r="B50">
        <v>53.129052777799998</v>
      </c>
      <c r="C50">
        <v>18.034666666700002</v>
      </c>
      <c r="D50" s="12" t="s">
        <v>363</v>
      </c>
      <c r="E50" s="12" t="s">
        <v>368</v>
      </c>
      <c r="F50" t="s">
        <v>9</v>
      </c>
    </row>
    <row r="51" spans="1:6" x14ac:dyDescent="0.2">
      <c r="A51" s="3" t="s">
        <v>123</v>
      </c>
      <c r="B51">
        <v>42.281388890000002</v>
      </c>
      <c r="C51">
        <v>13.83666667</v>
      </c>
      <c r="D51" s="12" t="s">
        <v>364</v>
      </c>
      <c r="E51" s="12" t="s">
        <v>368</v>
      </c>
      <c r="F51" s="4" t="s">
        <v>293</v>
      </c>
    </row>
    <row r="52" spans="1:6" x14ac:dyDescent="0.2">
      <c r="A52" s="3" t="s">
        <v>81</v>
      </c>
      <c r="B52">
        <v>40.206715000000003</v>
      </c>
      <c r="C52">
        <v>-77.186863000000002</v>
      </c>
      <c r="D52" s="12" t="s">
        <v>361</v>
      </c>
      <c r="E52" s="12" t="s">
        <v>367</v>
      </c>
      <c r="F52" s="4" t="s">
        <v>293</v>
      </c>
    </row>
    <row r="53" spans="1:6" x14ac:dyDescent="0.2">
      <c r="A53" s="3" t="s">
        <v>63</v>
      </c>
      <c r="B53">
        <v>38.008611999999999</v>
      </c>
      <c r="C53">
        <v>-95.393790999999993</v>
      </c>
      <c r="D53" s="12" t="s">
        <v>360</v>
      </c>
      <c r="E53" s="12" t="s">
        <v>367</v>
      </c>
      <c r="F53" s="4" t="s">
        <v>293</v>
      </c>
    </row>
    <row r="54" spans="1:6" x14ac:dyDescent="0.2">
      <c r="A54" s="16" t="s">
        <v>405</v>
      </c>
      <c r="B54" s="16">
        <v>36.016129999999997</v>
      </c>
      <c r="C54" s="16">
        <v>-107.92401</v>
      </c>
      <c r="D54" s="12" t="s">
        <v>360</v>
      </c>
      <c r="E54" s="12" t="s">
        <v>367</v>
      </c>
      <c r="F54" t="s">
        <v>9</v>
      </c>
    </row>
    <row r="55" spans="1:6" x14ac:dyDescent="0.2">
      <c r="A55" s="3" t="s">
        <v>194</v>
      </c>
      <c r="B55">
        <v>39.549999999999997</v>
      </c>
      <c r="C55">
        <v>-119.58</v>
      </c>
      <c r="D55" s="12" t="s">
        <v>360</v>
      </c>
      <c r="E55" s="12" t="s">
        <v>367</v>
      </c>
      <c r="F55" s="4" t="s">
        <v>293</v>
      </c>
    </row>
    <row r="56" spans="1:6" x14ac:dyDescent="0.2">
      <c r="A56" s="3" t="s">
        <v>195</v>
      </c>
      <c r="B56">
        <v>39.950000000000003</v>
      </c>
      <c r="C56">
        <v>-118.76</v>
      </c>
      <c r="D56" s="12" t="s">
        <v>360</v>
      </c>
      <c r="E56" s="12" t="s">
        <v>367</v>
      </c>
      <c r="F56" s="4" t="s">
        <v>293</v>
      </c>
    </row>
    <row r="57" spans="1:6" x14ac:dyDescent="0.2">
      <c r="A57" s="3" t="s">
        <v>196</v>
      </c>
      <c r="B57">
        <v>41.31</v>
      </c>
      <c r="C57">
        <v>-117.63</v>
      </c>
      <c r="D57" s="12" t="s">
        <v>362</v>
      </c>
      <c r="E57" s="12" t="s">
        <v>367</v>
      </c>
      <c r="F57" s="4" t="s">
        <v>293</v>
      </c>
    </row>
    <row r="58" spans="1:6" x14ac:dyDescent="0.2">
      <c r="A58" s="3" t="s">
        <v>197</v>
      </c>
      <c r="B58">
        <v>41.54</v>
      </c>
      <c r="C58">
        <v>-117.75</v>
      </c>
      <c r="D58" s="12" t="s">
        <v>362</v>
      </c>
      <c r="E58" s="12" t="s">
        <v>367</v>
      </c>
      <c r="F58" s="4" t="s">
        <v>293</v>
      </c>
    </row>
    <row r="59" spans="1:6" x14ac:dyDescent="0.2">
      <c r="A59" s="3" t="s">
        <v>198</v>
      </c>
      <c r="B59">
        <v>41.54</v>
      </c>
      <c r="C59">
        <v>-117.78</v>
      </c>
      <c r="D59" s="12" t="s">
        <v>362</v>
      </c>
      <c r="E59" s="12" t="s">
        <v>367</v>
      </c>
      <c r="F59" s="4" t="s">
        <v>293</v>
      </c>
    </row>
    <row r="60" spans="1:6" x14ac:dyDescent="0.2">
      <c r="A60" s="3" t="s">
        <v>199</v>
      </c>
      <c r="B60">
        <v>43.94</v>
      </c>
      <c r="C60">
        <v>-116.19</v>
      </c>
      <c r="D60" s="12" t="s">
        <v>362</v>
      </c>
      <c r="E60" s="12" t="s">
        <v>367</v>
      </c>
      <c r="F60" s="4" t="s">
        <v>293</v>
      </c>
    </row>
    <row r="61" spans="1:6" x14ac:dyDescent="0.2">
      <c r="A61" s="3" t="s">
        <v>200</v>
      </c>
      <c r="B61">
        <v>42.24</v>
      </c>
      <c r="C61">
        <v>-114.57</v>
      </c>
      <c r="D61" s="12" t="s">
        <v>362</v>
      </c>
      <c r="E61" s="12" t="s">
        <v>367</v>
      </c>
      <c r="F61" s="4" t="s">
        <v>293</v>
      </c>
    </row>
    <row r="62" spans="1:6" x14ac:dyDescent="0.2">
      <c r="A62" s="3" t="s">
        <v>201</v>
      </c>
      <c r="B62">
        <v>40.659999999999997</v>
      </c>
      <c r="C62">
        <v>-116.73</v>
      </c>
      <c r="D62" s="12" t="s">
        <v>362</v>
      </c>
      <c r="E62" s="12" t="s">
        <v>367</v>
      </c>
      <c r="F62" s="4" t="s">
        <v>293</v>
      </c>
    </row>
    <row r="63" spans="1:6" x14ac:dyDescent="0.2">
      <c r="A63" s="16" t="s">
        <v>33</v>
      </c>
      <c r="B63" s="16">
        <v>35.0563</v>
      </c>
      <c r="C63" s="16">
        <v>-85.278949999999995</v>
      </c>
      <c r="D63" s="12" t="s">
        <v>361</v>
      </c>
      <c r="E63" s="12" t="s">
        <v>367</v>
      </c>
      <c r="F63" t="s">
        <v>9</v>
      </c>
    </row>
    <row r="64" spans="1:6" x14ac:dyDescent="0.2">
      <c r="A64" t="s">
        <v>283</v>
      </c>
      <c r="B64">
        <v>50.821111000000002</v>
      </c>
      <c r="C64">
        <v>26.022221999999999</v>
      </c>
      <c r="D64" s="12" t="s">
        <v>363</v>
      </c>
      <c r="E64" s="12" t="s">
        <v>368</v>
      </c>
      <c r="F64" s="4" t="s">
        <v>293</v>
      </c>
    </row>
    <row r="65" spans="1:6" x14ac:dyDescent="0.2">
      <c r="A65" t="s">
        <v>21</v>
      </c>
      <c r="B65">
        <v>36.91339</v>
      </c>
      <c r="C65">
        <v>-76.071513999999993</v>
      </c>
      <c r="D65" s="12" t="s">
        <v>361</v>
      </c>
      <c r="E65" s="12" t="s">
        <v>367</v>
      </c>
      <c r="F65" t="s">
        <v>9</v>
      </c>
    </row>
    <row r="66" spans="1:6" x14ac:dyDescent="0.2">
      <c r="A66" s="3" t="s">
        <v>271</v>
      </c>
      <c r="B66">
        <v>39.766039999999997</v>
      </c>
      <c r="C66">
        <v>-109.5635</v>
      </c>
      <c r="D66" s="12" t="s">
        <v>360</v>
      </c>
      <c r="E66" s="12" t="s">
        <v>367</v>
      </c>
      <c r="F66" s="4" t="s">
        <v>293</v>
      </c>
    </row>
    <row r="67" spans="1:6" x14ac:dyDescent="0.2">
      <c r="A67" s="3" t="s">
        <v>272</v>
      </c>
      <c r="B67">
        <v>40.29092</v>
      </c>
      <c r="C67">
        <v>-109.68361</v>
      </c>
      <c r="D67" s="12" t="s">
        <v>362</v>
      </c>
      <c r="E67" s="12" t="s">
        <v>367</v>
      </c>
      <c r="F67" s="4" t="s">
        <v>293</v>
      </c>
    </row>
    <row r="68" spans="1:6" x14ac:dyDescent="0.2">
      <c r="A68" s="3" t="s">
        <v>273</v>
      </c>
      <c r="B68">
        <v>39.835760000000001</v>
      </c>
      <c r="C68">
        <v>-109.61202</v>
      </c>
      <c r="D68" s="12" t="s">
        <v>360</v>
      </c>
      <c r="E68" s="12" t="s">
        <v>367</v>
      </c>
      <c r="F68" s="4" t="s">
        <v>9</v>
      </c>
    </row>
    <row r="69" spans="1:6" x14ac:dyDescent="0.2">
      <c r="A69" s="3" t="s">
        <v>274</v>
      </c>
      <c r="B69">
        <v>40.480804999999997</v>
      </c>
      <c r="C69">
        <v>-109.43822900000001</v>
      </c>
      <c r="D69" s="12" t="s">
        <v>362</v>
      </c>
      <c r="E69" s="12" t="s">
        <v>367</v>
      </c>
      <c r="F69" s="4" t="s">
        <v>293</v>
      </c>
    </row>
    <row r="70" spans="1:6" x14ac:dyDescent="0.2">
      <c r="A70" s="3" t="s">
        <v>275</v>
      </c>
      <c r="B70">
        <v>40.533605000000001</v>
      </c>
      <c r="C70">
        <v>-109.52356399999999</v>
      </c>
      <c r="D70" s="12" t="s">
        <v>362</v>
      </c>
      <c r="E70" s="12" t="s">
        <v>367</v>
      </c>
      <c r="F70" s="4" t="s">
        <v>293</v>
      </c>
    </row>
    <row r="71" spans="1:6" x14ac:dyDescent="0.2">
      <c r="A71" s="3" t="s">
        <v>276</v>
      </c>
      <c r="B71">
        <v>40.640878000000001</v>
      </c>
      <c r="C71">
        <v>-109.48689</v>
      </c>
      <c r="D71" s="12" t="s">
        <v>362</v>
      </c>
      <c r="E71" s="12" t="s">
        <v>367</v>
      </c>
      <c r="F71" s="4" t="s">
        <v>293</v>
      </c>
    </row>
    <row r="72" spans="1:6" x14ac:dyDescent="0.2">
      <c r="A72" s="3" t="s">
        <v>94</v>
      </c>
      <c r="B72">
        <v>48.68</v>
      </c>
      <c r="C72">
        <v>-122.795</v>
      </c>
      <c r="D72" s="12" t="s">
        <v>362</v>
      </c>
      <c r="E72" s="12" t="s">
        <v>367</v>
      </c>
      <c r="F72" s="4" t="s">
        <v>293</v>
      </c>
    </row>
    <row r="73" spans="1:6" x14ac:dyDescent="0.2">
      <c r="A73" s="3" t="s">
        <v>91</v>
      </c>
      <c r="B73">
        <v>32.867866999999997</v>
      </c>
      <c r="C73">
        <v>-116.46128</v>
      </c>
      <c r="D73" s="12" t="s">
        <v>360</v>
      </c>
      <c r="E73" s="12" t="s">
        <v>367</v>
      </c>
      <c r="F73" s="4" t="s">
        <v>293</v>
      </c>
    </row>
    <row r="74" spans="1:6" x14ac:dyDescent="0.2">
      <c r="A74" s="16" t="s">
        <v>5</v>
      </c>
      <c r="B74" s="16">
        <f>- (44 + (54 + 13.73373/60)/60)</f>
        <v>-44.903814924999999</v>
      </c>
      <c r="C74" s="16">
        <f>169 +(30 + 3.25064/60)/60</f>
        <v>169.50090295555555</v>
      </c>
      <c r="D74" s="12" t="s">
        <v>369</v>
      </c>
      <c r="E74" s="12" t="s">
        <v>367</v>
      </c>
      <c r="F74" t="s">
        <v>9</v>
      </c>
    </row>
    <row r="75" spans="1:6" x14ac:dyDescent="0.2">
      <c r="A75" t="s">
        <v>393</v>
      </c>
      <c r="B75">
        <v>50.259219000000002</v>
      </c>
      <c r="C75">
        <v>10.957983</v>
      </c>
      <c r="D75" s="12" t="s">
        <v>363</v>
      </c>
      <c r="E75" s="12" t="s">
        <v>368</v>
      </c>
      <c r="F75" t="s">
        <v>9</v>
      </c>
    </row>
    <row r="76" spans="1:6" x14ac:dyDescent="0.2">
      <c r="A76" s="3" t="s">
        <v>93</v>
      </c>
      <c r="B76">
        <v>49.739722</v>
      </c>
      <c r="C76">
        <v>-124.924412</v>
      </c>
      <c r="D76" s="12" t="s">
        <v>362</v>
      </c>
      <c r="E76" s="12" t="s">
        <v>367</v>
      </c>
      <c r="F76" s="4" t="s">
        <v>9</v>
      </c>
    </row>
    <row r="77" spans="1:6" x14ac:dyDescent="0.2">
      <c r="A77" s="3" t="s">
        <v>202</v>
      </c>
      <c r="B77">
        <v>43.7</v>
      </c>
      <c r="C77">
        <v>-117.33</v>
      </c>
      <c r="D77" s="12" t="s">
        <v>362</v>
      </c>
      <c r="E77" s="12" t="s">
        <v>367</v>
      </c>
      <c r="F77" s="4" t="s">
        <v>293</v>
      </c>
    </row>
    <row r="78" spans="1:6" x14ac:dyDescent="0.2">
      <c r="A78" s="3" t="s">
        <v>205</v>
      </c>
      <c r="B78">
        <v>42.77</v>
      </c>
      <c r="C78">
        <v>-118.74</v>
      </c>
      <c r="D78" s="12" t="s">
        <v>362</v>
      </c>
      <c r="E78" s="12" t="s">
        <v>367</v>
      </c>
      <c r="F78" s="4" t="s">
        <v>293</v>
      </c>
    </row>
    <row r="79" spans="1:6" x14ac:dyDescent="0.2">
      <c r="A79" s="3" t="s">
        <v>203</v>
      </c>
      <c r="B79">
        <v>42.27</v>
      </c>
      <c r="C79">
        <v>-118.71</v>
      </c>
      <c r="D79" s="12" t="s">
        <v>362</v>
      </c>
      <c r="E79" s="12" t="s">
        <v>367</v>
      </c>
      <c r="F79" s="4" t="s">
        <v>293</v>
      </c>
    </row>
    <row r="80" spans="1:6" x14ac:dyDescent="0.2">
      <c r="A80" s="3" t="s">
        <v>204</v>
      </c>
      <c r="B80">
        <v>43.47</v>
      </c>
      <c r="C80">
        <v>-119.68</v>
      </c>
      <c r="D80" s="12" t="s">
        <v>362</v>
      </c>
      <c r="E80" s="12" t="s">
        <v>367</v>
      </c>
      <c r="F80" s="4" t="s">
        <v>293</v>
      </c>
    </row>
    <row r="81" spans="1:6" x14ac:dyDescent="0.2">
      <c r="A81" s="16" t="s">
        <v>419</v>
      </c>
      <c r="B81" s="16">
        <v>44.470633100000001</v>
      </c>
      <c r="C81" s="16">
        <v>33.648569600000002</v>
      </c>
      <c r="D81" s="12" t="s">
        <v>363</v>
      </c>
      <c r="E81" s="12" t="s">
        <v>368</v>
      </c>
      <c r="F81" t="s">
        <v>9</v>
      </c>
    </row>
    <row r="82" spans="1:6" x14ac:dyDescent="0.2">
      <c r="A82" s="16" t="s">
        <v>420</v>
      </c>
      <c r="B82" s="16">
        <v>44.748965800000001</v>
      </c>
      <c r="C82" s="16">
        <v>33.989746599999997</v>
      </c>
      <c r="D82" s="12" t="s">
        <v>363</v>
      </c>
      <c r="E82" s="12" t="s">
        <v>368</v>
      </c>
      <c r="F82" t="s">
        <v>9</v>
      </c>
    </row>
    <row r="83" spans="1:6" x14ac:dyDescent="0.2">
      <c r="A83" s="16" t="s">
        <v>421</v>
      </c>
      <c r="B83" s="16">
        <v>44.4930691</v>
      </c>
      <c r="C83" s="16">
        <v>33.606813000000002</v>
      </c>
      <c r="D83" s="12" t="s">
        <v>363</v>
      </c>
      <c r="E83" s="12" t="s">
        <v>368</v>
      </c>
      <c r="F83" t="s">
        <v>9</v>
      </c>
    </row>
    <row r="84" spans="1:6" x14ac:dyDescent="0.2">
      <c r="A84" t="s">
        <v>424</v>
      </c>
      <c r="B84" s="16">
        <v>46.057259000000002</v>
      </c>
      <c r="C84" s="16">
        <v>18.135401000000002</v>
      </c>
      <c r="D84" s="12" t="s">
        <v>363</v>
      </c>
      <c r="E84" s="12" t="s">
        <v>368</v>
      </c>
      <c r="F84" t="s">
        <v>9</v>
      </c>
    </row>
    <row r="85" spans="1:6" x14ac:dyDescent="0.2">
      <c r="A85" s="3" t="s">
        <v>90</v>
      </c>
      <c r="B85">
        <v>38.542257999999997</v>
      </c>
      <c r="C85">
        <v>-77.963525000000004</v>
      </c>
      <c r="D85" s="12" t="s">
        <v>361</v>
      </c>
      <c r="E85" s="12" t="s">
        <v>367</v>
      </c>
      <c r="F85" s="4" t="s">
        <v>293</v>
      </c>
    </row>
    <row r="86" spans="1:6" x14ac:dyDescent="0.2">
      <c r="A86" s="16" t="s">
        <v>417</v>
      </c>
      <c r="B86">
        <v>42.68</v>
      </c>
      <c r="C86">
        <v>-118.68</v>
      </c>
      <c r="D86" s="12" t="s">
        <v>362</v>
      </c>
      <c r="E86" s="12" t="s">
        <v>367</v>
      </c>
      <c r="F86" t="s">
        <v>9</v>
      </c>
    </row>
    <row r="87" spans="1:6" x14ac:dyDescent="0.2">
      <c r="A87" t="s">
        <v>13</v>
      </c>
      <c r="B87">
        <v>51.941299999999998</v>
      </c>
      <c r="C87">
        <v>-122.2757</v>
      </c>
      <c r="D87" s="12" t="s">
        <v>362</v>
      </c>
      <c r="E87" s="12" t="s">
        <v>367</v>
      </c>
      <c r="F87" s="4" t="s">
        <v>293</v>
      </c>
    </row>
    <row r="88" spans="1:6" x14ac:dyDescent="0.2">
      <c r="A88" t="s">
        <v>413</v>
      </c>
      <c r="B88" s="3">
        <v>39.101222</v>
      </c>
      <c r="C88" s="3">
        <v>-96.607986999999994</v>
      </c>
      <c r="D88" s="12" t="s">
        <v>360</v>
      </c>
      <c r="E88" s="12" t="s">
        <v>367</v>
      </c>
      <c r="F88" t="s">
        <v>9</v>
      </c>
    </row>
    <row r="89" spans="1:6" x14ac:dyDescent="0.2">
      <c r="A89" s="3" t="s">
        <v>206</v>
      </c>
      <c r="B89">
        <v>46.381450000000001</v>
      </c>
      <c r="C89">
        <v>-119.430272</v>
      </c>
      <c r="D89" s="12" t="s">
        <v>362</v>
      </c>
      <c r="E89" s="12" t="s">
        <v>367</v>
      </c>
      <c r="F89" s="4" t="s">
        <v>293</v>
      </c>
    </row>
    <row r="90" spans="1:6" x14ac:dyDescent="0.2">
      <c r="A90" s="3" t="s">
        <v>207</v>
      </c>
      <c r="B90">
        <v>46.250450000000001</v>
      </c>
      <c r="C90">
        <v>-119.53334</v>
      </c>
      <c r="D90" s="12" t="s">
        <v>362</v>
      </c>
      <c r="E90" s="12" t="s">
        <v>367</v>
      </c>
      <c r="F90" s="4" t="s">
        <v>293</v>
      </c>
    </row>
    <row r="91" spans="1:6" x14ac:dyDescent="0.2">
      <c r="A91" s="3" t="s">
        <v>208</v>
      </c>
      <c r="B91">
        <v>45.966299999999997</v>
      </c>
      <c r="C91">
        <v>-120.36709999999999</v>
      </c>
      <c r="D91" s="12" t="s">
        <v>362</v>
      </c>
      <c r="E91" s="12" t="s">
        <v>367</v>
      </c>
      <c r="F91" s="4" t="s">
        <v>293</v>
      </c>
    </row>
    <row r="92" spans="1:6" x14ac:dyDescent="0.2">
      <c r="A92" s="3" t="s">
        <v>209</v>
      </c>
      <c r="B92">
        <v>46.735979999999998</v>
      </c>
      <c r="C92">
        <v>-120.82735</v>
      </c>
      <c r="D92" s="12" t="s">
        <v>362</v>
      </c>
      <c r="E92" s="12" t="s">
        <v>367</v>
      </c>
      <c r="F92" s="4" t="s">
        <v>293</v>
      </c>
    </row>
    <row r="93" spans="1:6" x14ac:dyDescent="0.2">
      <c r="A93" s="3" t="s">
        <v>72</v>
      </c>
      <c r="B93">
        <v>34.555950000000003</v>
      </c>
      <c r="C93">
        <v>-119.243453</v>
      </c>
      <c r="D93" s="12" t="s">
        <v>360</v>
      </c>
      <c r="E93" s="12" t="s">
        <v>367</v>
      </c>
      <c r="F93" s="4" t="s">
        <v>293</v>
      </c>
    </row>
    <row r="94" spans="1:6" x14ac:dyDescent="0.2">
      <c r="A94" s="16" t="s">
        <v>402</v>
      </c>
      <c r="B94" s="16">
        <v>43.528122000000003</v>
      </c>
      <c r="C94" s="16">
        <v>-109.588172</v>
      </c>
      <c r="D94" s="12" t="s">
        <v>362</v>
      </c>
      <c r="E94" s="12" t="s">
        <v>367</v>
      </c>
      <c r="F94" t="s">
        <v>9</v>
      </c>
    </row>
    <row r="95" spans="1:6" x14ac:dyDescent="0.2">
      <c r="A95" s="3" t="s">
        <v>109</v>
      </c>
      <c r="B95">
        <v>46.976942999999999</v>
      </c>
      <c r="C95">
        <v>-92.196292999999997</v>
      </c>
      <c r="D95" s="12" t="s">
        <v>362</v>
      </c>
      <c r="E95" s="12" t="s">
        <v>367</v>
      </c>
      <c r="F95" s="4" t="s">
        <v>293</v>
      </c>
    </row>
    <row r="96" spans="1:6" x14ac:dyDescent="0.2">
      <c r="A96" s="3" t="s">
        <v>86</v>
      </c>
      <c r="B96">
        <v>53.517283999999997</v>
      </c>
      <c r="C96">
        <v>-113.49419899999999</v>
      </c>
      <c r="D96" s="12" t="s">
        <v>362</v>
      </c>
      <c r="E96" s="12" t="s">
        <v>367</v>
      </c>
      <c r="F96" s="4" t="s">
        <v>293</v>
      </c>
    </row>
    <row r="97" spans="1:6" x14ac:dyDescent="0.2">
      <c r="A97" s="16" t="s">
        <v>28</v>
      </c>
      <c r="B97" s="16">
        <v>36.790863999999999</v>
      </c>
      <c r="C97" s="16">
        <v>-88.065070000000006</v>
      </c>
      <c r="D97" s="12" t="s">
        <v>361</v>
      </c>
      <c r="E97" s="12" t="s">
        <v>367</v>
      </c>
      <c r="F97" t="s">
        <v>9</v>
      </c>
    </row>
    <row r="98" spans="1:6" x14ac:dyDescent="0.2">
      <c r="A98" s="16" t="s">
        <v>407</v>
      </c>
      <c r="B98" s="16">
        <v>36.448279999999997</v>
      </c>
      <c r="C98" s="16">
        <v>-105.58631</v>
      </c>
      <c r="D98" s="12" t="s">
        <v>360</v>
      </c>
      <c r="E98" s="12" t="s">
        <v>367</v>
      </c>
      <c r="F98" t="s">
        <v>9</v>
      </c>
    </row>
    <row r="99" spans="1:6" x14ac:dyDescent="0.2">
      <c r="A99" s="3" t="s">
        <v>210</v>
      </c>
      <c r="B99">
        <v>42.9</v>
      </c>
      <c r="C99">
        <v>-107.71</v>
      </c>
      <c r="D99" s="12" t="s">
        <v>362</v>
      </c>
      <c r="E99" s="12" t="s">
        <v>367</v>
      </c>
      <c r="F99" s="4" t="s">
        <v>293</v>
      </c>
    </row>
    <row r="100" spans="1:6" x14ac:dyDescent="0.2">
      <c r="A100" s="16" t="s">
        <v>35</v>
      </c>
      <c r="B100" s="16">
        <v>34.125152999999997</v>
      </c>
      <c r="C100" s="16">
        <v>-84.807382000000004</v>
      </c>
      <c r="D100" s="12" t="s">
        <v>361</v>
      </c>
      <c r="E100" s="12" t="s">
        <v>367</v>
      </c>
      <c r="F100" t="s">
        <v>9</v>
      </c>
    </row>
    <row r="101" spans="1:6" x14ac:dyDescent="0.2">
      <c r="A101" t="s">
        <v>422</v>
      </c>
      <c r="B101">
        <v>46.458531999999998</v>
      </c>
      <c r="C101">
        <v>18.807803</v>
      </c>
      <c r="D101" s="12" t="s">
        <v>363</v>
      </c>
      <c r="E101" s="12" t="s">
        <v>368</v>
      </c>
      <c r="F101" t="s">
        <v>9</v>
      </c>
    </row>
    <row r="102" spans="1:6" x14ac:dyDescent="0.2">
      <c r="A102" s="3" t="s">
        <v>97</v>
      </c>
      <c r="B102">
        <v>44.396572999999997</v>
      </c>
      <c r="C102">
        <v>-123.32182899999999</v>
      </c>
      <c r="D102" s="12" t="s">
        <v>362</v>
      </c>
      <c r="E102" s="12" t="s">
        <v>367</v>
      </c>
      <c r="F102" s="4" t="s">
        <v>293</v>
      </c>
    </row>
    <row r="103" spans="1:6" x14ac:dyDescent="0.2">
      <c r="A103" s="3" t="s">
        <v>211</v>
      </c>
      <c r="B103">
        <v>38.47</v>
      </c>
      <c r="C103">
        <v>-119.49</v>
      </c>
      <c r="D103" s="12" t="s">
        <v>360</v>
      </c>
      <c r="E103" s="12" t="s">
        <v>367</v>
      </c>
      <c r="F103" s="4" t="s">
        <v>293</v>
      </c>
    </row>
    <row r="104" spans="1:6" x14ac:dyDescent="0.2">
      <c r="A104" s="3" t="s">
        <v>212</v>
      </c>
      <c r="B104">
        <v>38.58</v>
      </c>
      <c r="C104">
        <v>-118.83</v>
      </c>
      <c r="D104" s="12" t="s">
        <v>360</v>
      </c>
      <c r="E104" s="12" t="s">
        <v>367</v>
      </c>
      <c r="F104" s="4" t="s">
        <v>293</v>
      </c>
    </row>
    <row r="105" spans="1:6" x14ac:dyDescent="0.2">
      <c r="A105" s="3" t="s">
        <v>213</v>
      </c>
      <c r="B105">
        <v>39.119999999999997</v>
      </c>
      <c r="C105">
        <v>-117.27</v>
      </c>
      <c r="D105" s="12" t="s">
        <v>360</v>
      </c>
      <c r="E105" s="12" t="s">
        <v>367</v>
      </c>
      <c r="F105" s="4" t="s">
        <v>293</v>
      </c>
    </row>
    <row r="106" spans="1:6" x14ac:dyDescent="0.2">
      <c r="A106" s="3" t="s">
        <v>214</v>
      </c>
      <c r="B106">
        <v>39.17</v>
      </c>
      <c r="C106">
        <v>-117.44</v>
      </c>
      <c r="D106" s="12" t="s">
        <v>360</v>
      </c>
      <c r="E106" s="12" t="s">
        <v>367</v>
      </c>
      <c r="F106" s="4" t="s">
        <v>293</v>
      </c>
    </row>
    <row r="107" spans="1:6" x14ac:dyDescent="0.2">
      <c r="A107" s="3" t="s">
        <v>98</v>
      </c>
      <c r="B107">
        <v>34.774768000000002</v>
      </c>
      <c r="C107">
        <v>-118.96919200000001</v>
      </c>
      <c r="D107" s="12" t="s">
        <v>360</v>
      </c>
      <c r="E107" s="12" t="s">
        <v>367</v>
      </c>
      <c r="F107" s="4" t="s">
        <v>293</v>
      </c>
    </row>
    <row r="108" spans="1:6" x14ac:dyDescent="0.2">
      <c r="A108" s="3" t="s">
        <v>64</v>
      </c>
      <c r="B108">
        <v>30.274166999999998</v>
      </c>
      <c r="C108">
        <v>-98.871943999999999</v>
      </c>
      <c r="D108" s="12" t="s">
        <v>360</v>
      </c>
      <c r="E108" s="12" t="s">
        <v>367</v>
      </c>
      <c r="F108" s="4" t="s">
        <v>293</v>
      </c>
    </row>
    <row r="109" spans="1:6" x14ac:dyDescent="0.2">
      <c r="A109" s="16" t="s">
        <v>34</v>
      </c>
      <c r="B109" s="16">
        <v>33.995800000000003</v>
      </c>
      <c r="C109" s="16">
        <v>-86.081329999999994</v>
      </c>
      <c r="D109" s="12" t="s">
        <v>361</v>
      </c>
      <c r="E109" s="12" t="s">
        <v>367</v>
      </c>
      <c r="F109" t="s">
        <v>9</v>
      </c>
    </row>
    <row r="110" spans="1:6" x14ac:dyDescent="0.2">
      <c r="A110" s="3" t="s">
        <v>277</v>
      </c>
      <c r="B110">
        <v>43.472083300000001</v>
      </c>
      <c r="C110">
        <v>-116.2338306</v>
      </c>
      <c r="D110" s="12" t="s">
        <v>362</v>
      </c>
      <c r="E110" s="12" t="s">
        <v>367</v>
      </c>
      <c r="F110" s="4" t="s">
        <v>293</v>
      </c>
    </row>
    <row r="111" spans="1:6" x14ac:dyDescent="0.2">
      <c r="A111" s="3" t="s">
        <v>215</v>
      </c>
      <c r="B111">
        <v>41.17</v>
      </c>
      <c r="C111">
        <v>-120.5</v>
      </c>
      <c r="D111" s="12" t="s">
        <v>362</v>
      </c>
      <c r="E111" s="12" t="s">
        <v>367</v>
      </c>
      <c r="F111" s="4" t="s">
        <v>293</v>
      </c>
    </row>
    <row r="112" spans="1:6" x14ac:dyDescent="0.2">
      <c r="A112" s="3" t="s">
        <v>216</v>
      </c>
      <c r="B112">
        <v>40.43</v>
      </c>
      <c r="C112">
        <v>-120.67</v>
      </c>
      <c r="D112" s="12" t="s">
        <v>362</v>
      </c>
      <c r="E112" s="12" t="s">
        <v>367</v>
      </c>
      <c r="F112" s="4" t="s">
        <v>293</v>
      </c>
    </row>
    <row r="113" spans="1:6" x14ac:dyDescent="0.2">
      <c r="A113" t="s">
        <v>217</v>
      </c>
      <c r="B113">
        <v>41.71</v>
      </c>
      <c r="C113">
        <v>-120.28</v>
      </c>
      <c r="D113" s="12" t="s">
        <v>362</v>
      </c>
      <c r="E113" s="12" t="s">
        <v>367</v>
      </c>
      <c r="F113" s="4" t="s">
        <v>293</v>
      </c>
    </row>
    <row r="114" spans="1:6" x14ac:dyDescent="0.2">
      <c r="A114" s="3" t="s">
        <v>80</v>
      </c>
      <c r="B114">
        <v>33.23028</v>
      </c>
      <c r="C114">
        <v>-108.25767999999999</v>
      </c>
      <c r="D114" s="12" t="s">
        <v>360</v>
      </c>
      <c r="E114" s="12" t="s">
        <v>367</v>
      </c>
      <c r="F114" s="4" t="s">
        <v>293</v>
      </c>
    </row>
    <row r="115" spans="1:6" x14ac:dyDescent="0.2">
      <c r="A115" s="3" t="s">
        <v>92</v>
      </c>
      <c r="B115">
        <v>41.077469999999998</v>
      </c>
      <c r="C115">
        <v>-71.936310000000006</v>
      </c>
      <c r="D115" s="12" t="s">
        <v>361</v>
      </c>
      <c r="E115" s="12" t="s">
        <v>367</v>
      </c>
      <c r="F115" s="4" t="s">
        <v>293</v>
      </c>
    </row>
    <row r="116" spans="1:6" x14ac:dyDescent="0.2">
      <c r="A116" s="3" t="s">
        <v>73</v>
      </c>
      <c r="B116">
        <v>46.846183000000003</v>
      </c>
      <c r="C116">
        <v>-96.476555000000005</v>
      </c>
      <c r="D116" s="12" t="s">
        <v>362</v>
      </c>
      <c r="E116" s="12" t="s">
        <v>367</v>
      </c>
      <c r="F116" s="4" t="s">
        <v>293</v>
      </c>
    </row>
    <row r="117" spans="1:6" x14ac:dyDescent="0.2">
      <c r="A117" t="s">
        <v>377</v>
      </c>
      <c r="B117">
        <v>53.113700000000001</v>
      </c>
      <c r="C117">
        <v>19.048636111099999</v>
      </c>
      <c r="D117" s="12" t="s">
        <v>363</v>
      </c>
      <c r="E117" s="12" t="s">
        <v>368</v>
      </c>
      <c r="F117" t="s">
        <v>9</v>
      </c>
    </row>
    <row r="118" spans="1:6" x14ac:dyDescent="0.2">
      <c r="A118" t="s">
        <v>373</v>
      </c>
      <c r="B118">
        <v>53.048263888900003</v>
      </c>
      <c r="C118">
        <v>18.4596222222</v>
      </c>
      <c r="D118" s="12" t="s">
        <v>363</v>
      </c>
      <c r="E118" s="12" t="s">
        <v>368</v>
      </c>
      <c r="F118" t="s">
        <v>9</v>
      </c>
    </row>
    <row r="119" spans="1:6" x14ac:dyDescent="0.2">
      <c r="A119" s="16" t="s">
        <v>25</v>
      </c>
      <c r="B119" s="18">
        <v>-35.999639999999999</v>
      </c>
      <c r="C119" s="16">
        <v>148.45997</v>
      </c>
      <c r="D119" s="12" t="s">
        <v>369</v>
      </c>
      <c r="E119" s="12" t="s">
        <v>367</v>
      </c>
      <c r="F119" t="s">
        <v>9</v>
      </c>
    </row>
    <row r="120" spans="1:6" x14ac:dyDescent="0.2">
      <c r="A120" t="s">
        <v>12</v>
      </c>
      <c r="B120">
        <v>49.094999999999999</v>
      </c>
      <c r="C120">
        <v>-119.52500000000001</v>
      </c>
      <c r="D120" s="12" t="s">
        <v>362</v>
      </c>
      <c r="E120" s="12" t="s">
        <v>367</v>
      </c>
      <c r="F120" s="4" t="s">
        <v>9</v>
      </c>
    </row>
    <row r="121" spans="1:6" x14ac:dyDescent="0.2">
      <c r="A121" s="3" t="s">
        <v>218</v>
      </c>
      <c r="B121">
        <v>41.61</v>
      </c>
      <c r="C121">
        <v>-111.57</v>
      </c>
      <c r="D121" s="12" t="s">
        <v>362</v>
      </c>
      <c r="E121" s="12" t="s">
        <v>367</v>
      </c>
      <c r="F121" s="4" t="s">
        <v>293</v>
      </c>
    </row>
    <row r="122" spans="1:6" x14ac:dyDescent="0.2">
      <c r="A122" s="3" t="s">
        <v>56</v>
      </c>
      <c r="B122">
        <v>41.507373000000001</v>
      </c>
      <c r="C122">
        <v>-71.059003000000004</v>
      </c>
      <c r="D122" s="12" t="s">
        <v>361</v>
      </c>
      <c r="E122" s="12" t="s">
        <v>367</v>
      </c>
      <c r="F122" s="4" t="s">
        <v>293</v>
      </c>
    </row>
    <row r="123" spans="1:6" x14ac:dyDescent="0.2">
      <c r="A123" s="3" t="s">
        <v>270</v>
      </c>
      <c r="B123">
        <v>40.559085000000003</v>
      </c>
      <c r="C123">
        <v>-105.14416900000001</v>
      </c>
      <c r="D123" s="12" t="s">
        <v>362</v>
      </c>
      <c r="E123" s="12" t="s">
        <v>367</v>
      </c>
      <c r="F123" s="4" t="s">
        <v>293</v>
      </c>
    </row>
    <row r="124" spans="1:6" x14ac:dyDescent="0.2">
      <c r="A124" s="3" t="s">
        <v>219</v>
      </c>
      <c r="B124">
        <v>38.670099999999998</v>
      </c>
      <c r="C124">
        <v>-108.32859999999999</v>
      </c>
      <c r="D124" s="12" t="s">
        <v>360</v>
      </c>
      <c r="E124" s="12" t="s">
        <v>367</v>
      </c>
      <c r="F124" s="4" t="s">
        <v>293</v>
      </c>
    </row>
    <row r="125" spans="1:6" x14ac:dyDescent="0.2">
      <c r="A125" s="3" t="s">
        <v>220</v>
      </c>
      <c r="B125">
        <v>39.547443999999999</v>
      </c>
      <c r="C125">
        <v>-105.10211099999999</v>
      </c>
      <c r="D125" s="12" t="s">
        <v>360</v>
      </c>
      <c r="E125" s="12" t="s">
        <v>367</v>
      </c>
      <c r="F125" s="4" t="s">
        <v>293</v>
      </c>
    </row>
    <row r="126" spans="1:6" x14ac:dyDescent="0.2">
      <c r="A126" s="3" t="s">
        <v>78</v>
      </c>
      <c r="B126">
        <v>35.000070000000001</v>
      </c>
      <c r="C126">
        <v>-108.07323</v>
      </c>
      <c r="D126" s="12" t="s">
        <v>360</v>
      </c>
      <c r="E126" s="12" t="s">
        <v>367</v>
      </c>
      <c r="F126" s="4" t="s">
        <v>293</v>
      </c>
    </row>
    <row r="127" spans="1:6" x14ac:dyDescent="0.2">
      <c r="A127" s="3" t="s">
        <v>79</v>
      </c>
      <c r="B127">
        <v>32.909610000000001</v>
      </c>
      <c r="C127">
        <v>-107.8039</v>
      </c>
      <c r="D127" s="12" t="s">
        <v>360</v>
      </c>
      <c r="E127" s="12" t="s">
        <v>367</v>
      </c>
      <c r="F127" s="4" t="s">
        <v>293</v>
      </c>
    </row>
    <row r="128" spans="1:6" x14ac:dyDescent="0.2">
      <c r="A128" s="3" t="s">
        <v>57</v>
      </c>
      <c r="B128">
        <v>39.799970999999999</v>
      </c>
      <c r="C128">
        <v>-74.093647000000004</v>
      </c>
      <c r="D128" s="12" t="s">
        <v>361</v>
      </c>
      <c r="E128" s="12" t="s">
        <v>367</v>
      </c>
      <c r="F128" s="4" t="s">
        <v>293</v>
      </c>
    </row>
    <row r="129" spans="1:6" x14ac:dyDescent="0.2">
      <c r="A129" s="3" t="s">
        <v>221</v>
      </c>
      <c r="B129">
        <v>43.65</v>
      </c>
      <c r="C129">
        <v>-102.97</v>
      </c>
      <c r="D129" s="12" t="s">
        <v>362</v>
      </c>
      <c r="E129" s="12" t="s">
        <v>367</v>
      </c>
      <c r="F129" s="4" t="s">
        <v>293</v>
      </c>
    </row>
    <row r="130" spans="1:6" x14ac:dyDescent="0.2">
      <c r="A130" s="3" t="s">
        <v>222</v>
      </c>
      <c r="B130">
        <v>43.71</v>
      </c>
      <c r="C130">
        <v>-102.32</v>
      </c>
      <c r="D130" s="12" t="s">
        <v>362</v>
      </c>
      <c r="E130" s="12" t="s">
        <v>367</v>
      </c>
      <c r="F130" s="4" t="s">
        <v>293</v>
      </c>
    </row>
    <row r="131" spans="1:6" x14ac:dyDescent="0.2">
      <c r="A131" s="3" t="s">
        <v>223</v>
      </c>
      <c r="B131">
        <v>43.78</v>
      </c>
      <c r="C131">
        <v>-102.61</v>
      </c>
      <c r="D131" s="12" t="s">
        <v>362</v>
      </c>
      <c r="E131" s="12" t="s">
        <v>367</v>
      </c>
      <c r="F131" s="4" t="s">
        <v>293</v>
      </c>
    </row>
    <row r="132" spans="1:6" x14ac:dyDescent="0.2">
      <c r="A132" s="3" t="s">
        <v>224</v>
      </c>
      <c r="B132">
        <v>43.84</v>
      </c>
      <c r="C132">
        <v>-101.94</v>
      </c>
      <c r="D132" s="12" t="s">
        <v>362</v>
      </c>
      <c r="E132" s="12" t="s">
        <v>367</v>
      </c>
      <c r="F132" s="4" t="s">
        <v>293</v>
      </c>
    </row>
    <row r="133" spans="1:6" x14ac:dyDescent="0.2">
      <c r="A133" s="3" t="s">
        <v>225</v>
      </c>
      <c r="B133">
        <v>43.82</v>
      </c>
      <c r="C133">
        <v>-101.94</v>
      </c>
      <c r="D133" s="12" t="s">
        <v>362</v>
      </c>
      <c r="E133" s="12" t="s">
        <v>367</v>
      </c>
      <c r="F133" s="4" t="s">
        <v>293</v>
      </c>
    </row>
    <row r="134" spans="1:6" x14ac:dyDescent="0.2">
      <c r="A134" s="16" t="s">
        <v>406</v>
      </c>
      <c r="B134" s="16">
        <v>35.757820000000002</v>
      </c>
      <c r="C134" s="16">
        <v>-106.70213</v>
      </c>
      <c r="D134" s="12" t="s">
        <v>360</v>
      </c>
      <c r="E134" s="12" t="s">
        <v>367</v>
      </c>
      <c r="F134" t="s">
        <v>9</v>
      </c>
    </row>
    <row r="135" spans="1:6" x14ac:dyDescent="0.2">
      <c r="A135" s="3" t="s">
        <v>62</v>
      </c>
      <c r="B135">
        <v>35.843204999999998</v>
      </c>
      <c r="C135">
        <v>-90.680971</v>
      </c>
      <c r="D135" s="12" t="s">
        <v>360</v>
      </c>
      <c r="E135" s="12" t="s">
        <v>367</v>
      </c>
      <c r="F135" s="4" t="s">
        <v>293</v>
      </c>
    </row>
    <row r="136" spans="1:6" x14ac:dyDescent="0.2">
      <c r="A136" s="3" t="s">
        <v>124</v>
      </c>
      <c r="B136">
        <v>39.709166670000002</v>
      </c>
      <c r="C136">
        <v>21.616944440000001</v>
      </c>
      <c r="D136" s="12" t="s">
        <v>364</v>
      </c>
      <c r="E136" s="12" t="s">
        <v>368</v>
      </c>
      <c r="F136" s="4" t="s">
        <v>293</v>
      </c>
    </row>
    <row r="137" spans="1:6" x14ac:dyDescent="0.2">
      <c r="A137" s="17" t="s">
        <v>370</v>
      </c>
      <c r="B137" s="19">
        <v>49.039540000000002</v>
      </c>
      <c r="C137" s="16">
        <v>8.3922100000000004</v>
      </c>
      <c r="D137" s="12" t="s">
        <v>363</v>
      </c>
      <c r="E137" s="12" t="s">
        <v>368</v>
      </c>
      <c r="F137" t="s">
        <v>9</v>
      </c>
    </row>
    <row r="138" spans="1:6" x14ac:dyDescent="0.2">
      <c r="A138" s="20" t="s">
        <v>371</v>
      </c>
      <c r="B138" s="20">
        <v>49.040149999999997</v>
      </c>
      <c r="C138" s="20">
        <v>8.3911599999999993</v>
      </c>
      <c r="D138" s="12" t="s">
        <v>363</v>
      </c>
      <c r="E138" s="12" t="s">
        <v>368</v>
      </c>
      <c r="F138" t="s">
        <v>9</v>
      </c>
    </row>
    <row r="139" spans="1:6" x14ac:dyDescent="0.2">
      <c r="A139" s="16" t="s">
        <v>29</v>
      </c>
      <c r="B139" s="16">
        <f>42 + (54 + 1.35/60)/60</f>
        <v>42.900374999999997</v>
      </c>
      <c r="C139" s="16">
        <f>47 + (37 + 57.27/60)/60</f>
        <v>47.632575000000003</v>
      </c>
      <c r="D139" s="12" t="s">
        <v>366</v>
      </c>
      <c r="E139" s="12" t="s">
        <v>368</v>
      </c>
      <c r="F139" t="s">
        <v>9</v>
      </c>
    </row>
    <row r="140" spans="1:6" x14ac:dyDescent="0.2">
      <c r="A140" s="3" t="s">
        <v>101</v>
      </c>
      <c r="B140">
        <v>42.025824</v>
      </c>
      <c r="C140">
        <v>-82.737030000000004</v>
      </c>
      <c r="D140" s="12" t="s">
        <v>361</v>
      </c>
      <c r="E140" s="12" t="s">
        <v>367</v>
      </c>
      <c r="F140" s="4" t="s">
        <v>9</v>
      </c>
    </row>
    <row r="141" spans="1:6" x14ac:dyDescent="0.2">
      <c r="A141" t="s">
        <v>286</v>
      </c>
      <c r="B141">
        <v>42.968145999999997</v>
      </c>
      <c r="C141">
        <v>-121.573903</v>
      </c>
      <c r="D141" s="12" t="s">
        <v>362</v>
      </c>
      <c r="E141" s="12" t="s">
        <v>367</v>
      </c>
      <c r="F141" s="4" t="s">
        <v>293</v>
      </c>
    </row>
    <row r="142" spans="1:6" x14ac:dyDescent="0.2">
      <c r="A142" t="s">
        <v>379</v>
      </c>
      <c r="B142">
        <v>53.552694444399997</v>
      </c>
      <c r="C142">
        <v>19.6190138889</v>
      </c>
      <c r="D142" s="23" t="s">
        <v>363</v>
      </c>
      <c r="E142" s="23" t="s">
        <v>368</v>
      </c>
      <c r="F142" t="s">
        <v>9</v>
      </c>
    </row>
    <row r="143" spans="1:6" x14ac:dyDescent="0.2">
      <c r="A143" s="3" t="s">
        <v>18</v>
      </c>
      <c r="B143">
        <v>53.327002</v>
      </c>
      <c r="C143">
        <v>34.212670000000003</v>
      </c>
      <c r="D143" s="12" t="s">
        <v>363</v>
      </c>
      <c r="E143" s="12" t="s">
        <v>368</v>
      </c>
      <c r="F143" t="s">
        <v>9</v>
      </c>
    </row>
    <row r="144" spans="1:6" x14ac:dyDescent="0.2">
      <c r="A144" t="s">
        <v>395</v>
      </c>
      <c r="B144">
        <v>54.054105999999997</v>
      </c>
      <c r="C144">
        <v>13.994939</v>
      </c>
      <c r="D144" s="12" t="s">
        <v>363</v>
      </c>
      <c r="E144" s="12" t="s">
        <v>368</v>
      </c>
      <c r="F144" t="s">
        <v>9</v>
      </c>
    </row>
    <row r="145" spans="1:6" x14ac:dyDescent="0.2">
      <c r="A145" t="s">
        <v>374</v>
      </c>
      <c r="B145">
        <v>53.167895486699997</v>
      </c>
      <c r="C145">
        <v>18.871154994499999</v>
      </c>
      <c r="D145" s="12" t="s">
        <v>363</v>
      </c>
      <c r="E145" s="12" t="s">
        <v>368</v>
      </c>
      <c r="F145" t="s">
        <v>9</v>
      </c>
    </row>
    <row r="146" spans="1:6" x14ac:dyDescent="0.2">
      <c r="A146" t="s">
        <v>426</v>
      </c>
      <c r="B146" s="16">
        <v>53.394930000000002</v>
      </c>
      <c r="C146" s="16">
        <v>12.90554</v>
      </c>
      <c r="D146" s="12" t="s">
        <v>363</v>
      </c>
      <c r="E146" s="12" t="s">
        <v>368</v>
      </c>
      <c r="F146" t="s">
        <v>9</v>
      </c>
    </row>
    <row r="147" spans="1:6" x14ac:dyDescent="0.2">
      <c r="A147" s="16" t="s">
        <v>47</v>
      </c>
      <c r="B147" s="16">
        <f>48 + (18 + 10/60)/60</f>
        <v>48.302777777777777</v>
      </c>
      <c r="C147" s="16">
        <f>16 + (21 + 59/60)/60</f>
        <v>16.366388888888888</v>
      </c>
      <c r="D147" s="23" t="s">
        <v>363</v>
      </c>
      <c r="E147" s="23" t="s">
        <v>368</v>
      </c>
      <c r="F147" t="s">
        <v>9</v>
      </c>
    </row>
    <row r="148" spans="1:6" x14ac:dyDescent="0.2">
      <c r="A148" s="16" t="s">
        <v>412</v>
      </c>
      <c r="B148" s="16">
        <v>36.065113330000003</v>
      </c>
      <c r="C148" s="16">
        <v>-112.1212283</v>
      </c>
      <c r="D148" s="12" t="s">
        <v>360</v>
      </c>
      <c r="E148" s="12" t="s">
        <v>367</v>
      </c>
      <c r="F148" t="s">
        <v>9</v>
      </c>
    </row>
    <row r="149" spans="1:6" x14ac:dyDescent="0.2">
      <c r="A149" s="16" t="s">
        <v>408</v>
      </c>
      <c r="B149" s="16">
        <v>37.61027</v>
      </c>
      <c r="C149" s="16">
        <v>-104.82935999999999</v>
      </c>
      <c r="D149" s="12" t="s">
        <v>360</v>
      </c>
      <c r="E149" s="12" t="s">
        <v>367</v>
      </c>
      <c r="F149" t="s">
        <v>9</v>
      </c>
    </row>
    <row r="150" spans="1:6" x14ac:dyDescent="0.2">
      <c r="A150" s="3" t="s">
        <v>226</v>
      </c>
      <c r="B150">
        <v>44.68</v>
      </c>
      <c r="C150">
        <v>-109.07</v>
      </c>
      <c r="D150" s="12" t="s">
        <v>362</v>
      </c>
      <c r="E150" s="12" t="s">
        <v>367</v>
      </c>
      <c r="F150" s="4" t="s">
        <v>293</v>
      </c>
    </row>
    <row r="151" spans="1:6" x14ac:dyDescent="0.2">
      <c r="A151" s="3" t="s">
        <v>227</v>
      </c>
      <c r="B151">
        <v>45.67</v>
      </c>
      <c r="C151">
        <v>-111.03</v>
      </c>
      <c r="D151" s="12" t="s">
        <v>362</v>
      </c>
      <c r="E151" s="12" t="s">
        <v>367</v>
      </c>
      <c r="F151" s="4" t="s">
        <v>293</v>
      </c>
    </row>
    <row r="152" spans="1:6" x14ac:dyDescent="0.2">
      <c r="A152" s="3" t="s">
        <v>228</v>
      </c>
      <c r="B152">
        <v>36.823408329999999</v>
      </c>
      <c r="C152">
        <v>-116.0163889</v>
      </c>
      <c r="D152" s="12" t="s">
        <v>360</v>
      </c>
      <c r="E152" s="12" t="s">
        <v>367</v>
      </c>
      <c r="F152" s="4" t="s">
        <v>293</v>
      </c>
    </row>
    <row r="153" spans="1:6" x14ac:dyDescent="0.2">
      <c r="A153" s="3" t="s">
        <v>229</v>
      </c>
      <c r="B153">
        <v>35.398400000000002</v>
      </c>
      <c r="C153">
        <v>-115.78449999999999</v>
      </c>
      <c r="D153" s="12" t="s">
        <v>360</v>
      </c>
      <c r="E153" s="12" t="s">
        <v>367</v>
      </c>
      <c r="F153" s="4" t="s">
        <v>293</v>
      </c>
    </row>
    <row r="154" spans="1:6" x14ac:dyDescent="0.2">
      <c r="A154" s="3" t="s">
        <v>230</v>
      </c>
      <c r="B154">
        <v>36.524700000000003</v>
      </c>
      <c r="C154">
        <v>-115.89870000000001</v>
      </c>
      <c r="D154" s="12" t="s">
        <v>360</v>
      </c>
      <c r="E154" s="12" t="s">
        <v>367</v>
      </c>
      <c r="F154" s="4" t="s">
        <v>293</v>
      </c>
    </row>
    <row r="155" spans="1:6" x14ac:dyDescent="0.2">
      <c r="A155" s="3" t="s">
        <v>231</v>
      </c>
      <c r="B155">
        <v>35.456400000000002</v>
      </c>
      <c r="C155">
        <v>-115.52</v>
      </c>
      <c r="D155" s="12" t="s">
        <v>360</v>
      </c>
      <c r="E155" s="12" t="s">
        <v>367</v>
      </c>
      <c r="F155" s="4" t="s">
        <v>293</v>
      </c>
    </row>
    <row r="156" spans="1:6" x14ac:dyDescent="0.2">
      <c r="A156" s="3" t="s">
        <v>232</v>
      </c>
      <c r="B156">
        <v>35.315300000000001</v>
      </c>
      <c r="C156">
        <v>-115.5544</v>
      </c>
      <c r="D156" s="12" t="s">
        <v>360</v>
      </c>
      <c r="E156" s="12" t="s">
        <v>367</v>
      </c>
      <c r="F156" s="4" t="s">
        <v>293</v>
      </c>
    </row>
    <row r="157" spans="1:6" x14ac:dyDescent="0.2">
      <c r="A157" s="3" t="s">
        <v>233</v>
      </c>
      <c r="B157">
        <v>39.49</v>
      </c>
      <c r="C157">
        <v>-119.84</v>
      </c>
      <c r="D157" s="12" t="s">
        <v>360</v>
      </c>
      <c r="E157" s="12" t="s">
        <v>367</v>
      </c>
      <c r="F157" s="4" t="s">
        <v>293</v>
      </c>
    </row>
    <row r="158" spans="1:6" x14ac:dyDescent="0.2">
      <c r="A158" t="s">
        <v>396</v>
      </c>
      <c r="B158">
        <v>51.347886000000003</v>
      </c>
      <c r="C158">
        <v>12.39683</v>
      </c>
      <c r="D158" s="12" t="s">
        <v>363</v>
      </c>
      <c r="E158" s="12" t="s">
        <v>368</v>
      </c>
      <c r="F158" t="s">
        <v>9</v>
      </c>
    </row>
    <row r="159" spans="1:6" x14ac:dyDescent="0.2">
      <c r="A159" s="16" t="s">
        <v>31</v>
      </c>
      <c r="B159" s="16">
        <v>38.05641</v>
      </c>
      <c r="C159" s="16">
        <v>-84.518879999999996</v>
      </c>
      <c r="D159" s="12" t="s">
        <v>361</v>
      </c>
      <c r="E159" s="12" t="s">
        <v>367</v>
      </c>
      <c r="F159" t="s">
        <v>9</v>
      </c>
    </row>
    <row r="160" spans="1:6" x14ac:dyDescent="0.2">
      <c r="A160" s="3" t="s">
        <v>85</v>
      </c>
      <c r="B160">
        <v>43.649444440000003</v>
      </c>
      <c r="C160">
        <v>-70.284916670000001</v>
      </c>
      <c r="D160" s="12" t="s">
        <v>361</v>
      </c>
      <c r="E160" s="12" t="s">
        <v>367</v>
      </c>
      <c r="F160" s="4" t="s">
        <v>293</v>
      </c>
    </row>
    <row r="161" spans="1:6" x14ac:dyDescent="0.2">
      <c r="A161" s="16" t="s">
        <v>403</v>
      </c>
      <c r="B161" s="16">
        <v>32.827545000000001</v>
      </c>
      <c r="C161" s="16">
        <v>-105.66177999999999</v>
      </c>
      <c r="D161" s="12" t="s">
        <v>360</v>
      </c>
      <c r="E161" s="12" t="s">
        <v>367</v>
      </c>
      <c r="F161" t="s">
        <v>9</v>
      </c>
    </row>
    <row r="162" spans="1:6" ht="17" x14ac:dyDescent="0.2">
      <c r="A162" s="21" t="s">
        <v>414</v>
      </c>
      <c r="B162" s="21">
        <v>52.076897000000002</v>
      </c>
      <c r="C162" s="22">
        <v>20.963574000000001</v>
      </c>
      <c r="D162" s="12" t="s">
        <v>363</v>
      </c>
      <c r="E162" s="12" t="s">
        <v>368</v>
      </c>
      <c r="F162" t="s">
        <v>9</v>
      </c>
    </row>
    <row r="163" spans="1:6" x14ac:dyDescent="0.2">
      <c r="A163" s="3" t="s">
        <v>132</v>
      </c>
      <c r="B163">
        <v>32.368000000000002</v>
      </c>
      <c r="C163">
        <v>-106.56</v>
      </c>
      <c r="D163" s="12" t="s">
        <v>360</v>
      </c>
      <c r="E163" s="12" t="s">
        <v>367</v>
      </c>
      <c r="F163" s="4" t="s">
        <v>293</v>
      </c>
    </row>
    <row r="164" spans="1:6" x14ac:dyDescent="0.2">
      <c r="A164" s="16" t="s">
        <v>48</v>
      </c>
      <c r="B164" s="16">
        <v>50.838000000000001</v>
      </c>
      <c r="C164" s="16">
        <v>-121.709</v>
      </c>
      <c r="D164" s="12" t="s">
        <v>362</v>
      </c>
      <c r="E164" s="12" t="s">
        <v>367</v>
      </c>
      <c r="F164" t="s">
        <v>9</v>
      </c>
    </row>
    <row r="165" spans="1:6" x14ac:dyDescent="0.2">
      <c r="A165" s="3" t="s">
        <v>234</v>
      </c>
      <c r="B165">
        <v>46.68</v>
      </c>
      <c r="C165">
        <v>-114.03</v>
      </c>
      <c r="D165" s="12" t="s">
        <v>362</v>
      </c>
      <c r="E165" s="12" t="s">
        <v>367</v>
      </c>
      <c r="F165" s="4" t="s">
        <v>293</v>
      </c>
    </row>
    <row r="166" spans="1:6" x14ac:dyDescent="0.2">
      <c r="A166" s="3" t="s">
        <v>235</v>
      </c>
      <c r="B166">
        <v>46.64</v>
      </c>
      <c r="C166">
        <v>-113.23</v>
      </c>
      <c r="D166" s="12" t="s">
        <v>362</v>
      </c>
      <c r="E166" s="12" t="s">
        <v>367</v>
      </c>
      <c r="F166" s="4" t="s">
        <v>293</v>
      </c>
    </row>
    <row r="167" spans="1:6" x14ac:dyDescent="0.2">
      <c r="A167" t="s">
        <v>27</v>
      </c>
      <c r="B167">
        <v>35.585183600000001</v>
      </c>
      <c r="C167">
        <v>-97.605883399999996</v>
      </c>
      <c r="D167" s="12" t="s">
        <v>360</v>
      </c>
      <c r="E167" s="12" t="s">
        <v>367</v>
      </c>
      <c r="F167" t="s">
        <v>9</v>
      </c>
    </row>
    <row r="168" spans="1:6" x14ac:dyDescent="0.2">
      <c r="A168" s="16" t="s">
        <v>410</v>
      </c>
      <c r="B168" s="16">
        <v>49.630896999999997</v>
      </c>
      <c r="C168" s="16">
        <v>-115.96087</v>
      </c>
      <c r="D168" s="12" t="s">
        <v>362</v>
      </c>
      <c r="E168" s="12" t="s">
        <v>367</v>
      </c>
      <c r="F168" t="s">
        <v>9</v>
      </c>
    </row>
    <row r="169" spans="1:6" x14ac:dyDescent="0.2">
      <c r="A169" s="3" t="s">
        <v>77</v>
      </c>
      <c r="B169">
        <v>37.15607</v>
      </c>
      <c r="C169">
        <v>-108.46339999999999</v>
      </c>
      <c r="D169" s="12" t="s">
        <v>360</v>
      </c>
      <c r="E169" s="12" t="s">
        <v>367</v>
      </c>
      <c r="F169" s="4" t="s">
        <v>293</v>
      </c>
    </row>
    <row r="170" spans="1:6" x14ac:dyDescent="0.2">
      <c r="A170" s="3" t="s">
        <v>125</v>
      </c>
      <c r="B170">
        <v>39.750277779999998</v>
      </c>
      <c r="C170">
        <v>21.660833329999999</v>
      </c>
      <c r="D170" s="12" t="s">
        <v>364</v>
      </c>
      <c r="E170" s="12" t="s">
        <v>368</v>
      </c>
      <c r="F170" s="4" t="s">
        <v>293</v>
      </c>
    </row>
    <row r="171" spans="1:6" x14ac:dyDescent="0.2">
      <c r="A171" s="3" t="s">
        <v>82</v>
      </c>
      <c r="B171">
        <v>42.153638999999998</v>
      </c>
      <c r="C171">
        <v>-71.489121999999995</v>
      </c>
      <c r="D171" s="12" t="s">
        <v>361</v>
      </c>
      <c r="E171" s="12" t="s">
        <v>367</v>
      </c>
      <c r="F171" s="4" t="s">
        <v>293</v>
      </c>
    </row>
    <row r="172" spans="1:6" x14ac:dyDescent="0.2">
      <c r="A172" s="3" t="s">
        <v>88</v>
      </c>
      <c r="B172">
        <v>43.837837999999998</v>
      </c>
      <c r="C172">
        <v>-79.305063000000004</v>
      </c>
      <c r="D172" s="12" t="s">
        <v>361</v>
      </c>
      <c r="E172" s="12" t="s">
        <v>367</v>
      </c>
      <c r="F172" s="4" t="s">
        <v>9</v>
      </c>
    </row>
    <row r="173" spans="1:6" x14ac:dyDescent="0.2">
      <c r="A173" s="3" t="s">
        <v>118</v>
      </c>
      <c r="B173">
        <v>37.738611110000001</v>
      </c>
      <c r="C173">
        <v>15.112500000000001</v>
      </c>
      <c r="D173" s="12" t="s">
        <v>364</v>
      </c>
      <c r="E173" s="12" t="s">
        <v>368</v>
      </c>
      <c r="F173" s="4" t="s">
        <v>293</v>
      </c>
    </row>
    <row r="174" spans="1:6" x14ac:dyDescent="0.2">
      <c r="A174" s="3" t="s">
        <v>119</v>
      </c>
      <c r="B174">
        <v>37.751944440000003</v>
      </c>
      <c r="C174">
        <v>15.09444444</v>
      </c>
      <c r="D174" s="12" t="s">
        <v>364</v>
      </c>
      <c r="E174" s="12" t="s">
        <v>368</v>
      </c>
      <c r="F174" s="4" t="s">
        <v>293</v>
      </c>
    </row>
    <row r="175" spans="1:6" x14ac:dyDescent="0.2">
      <c r="A175" s="3" t="s">
        <v>102</v>
      </c>
      <c r="B175">
        <v>43.552568999999998</v>
      </c>
      <c r="C175">
        <v>-79.780876000000006</v>
      </c>
      <c r="D175" s="12" t="s">
        <v>361</v>
      </c>
      <c r="E175" s="12" t="s">
        <v>367</v>
      </c>
      <c r="F175" s="4" t="s">
        <v>9</v>
      </c>
    </row>
    <row r="176" spans="1:6" x14ac:dyDescent="0.2">
      <c r="A176" t="s">
        <v>394</v>
      </c>
      <c r="B176">
        <v>49.933630000000001</v>
      </c>
      <c r="C176">
        <v>14.705544</v>
      </c>
      <c r="D176" s="12" t="s">
        <v>363</v>
      </c>
      <c r="E176" s="12" t="s">
        <v>368</v>
      </c>
      <c r="F176" t="s">
        <v>9</v>
      </c>
    </row>
    <row r="177" spans="1:6" x14ac:dyDescent="0.2">
      <c r="A177" t="s">
        <v>280</v>
      </c>
      <c r="B177">
        <v>48.838452500000002</v>
      </c>
      <c r="C177">
        <v>10.8461493</v>
      </c>
      <c r="D177" s="12" t="s">
        <v>363</v>
      </c>
      <c r="E177" s="12" t="s">
        <v>368</v>
      </c>
      <c r="F177" s="4" t="s">
        <v>293</v>
      </c>
    </row>
    <row r="178" spans="1:6" x14ac:dyDescent="0.2">
      <c r="A178" s="3" t="s">
        <v>126</v>
      </c>
      <c r="B178">
        <v>39.704722220000001</v>
      </c>
      <c r="C178">
        <v>21.611666670000002</v>
      </c>
      <c r="D178" s="12" t="s">
        <v>364</v>
      </c>
      <c r="E178" s="12" t="s">
        <v>368</v>
      </c>
      <c r="F178" s="4" t="s">
        <v>293</v>
      </c>
    </row>
    <row r="179" spans="1:6" x14ac:dyDescent="0.2">
      <c r="A179" s="3" t="s">
        <v>121</v>
      </c>
      <c r="B179">
        <v>37.774722220000001</v>
      </c>
      <c r="C179">
        <v>15.088055560000001</v>
      </c>
      <c r="D179" s="12" t="s">
        <v>364</v>
      </c>
      <c r="E179" s="12" t="s">
        <v>368</v>
      </c>
      <c r="F179" s="4" t="s">
        <v>293</v>
      </c>
    </row>
    <row r="180" spans="1:6" x14ac:dyDescent="0.2">
      <c r="A180" s="3" t="s">
        <v>127</v>
      </c>
      <c r="B180">
        <v>39.737499999999997</v>
      </c>
      <c r="C180">
        <v>21.546944440000001</v>
      </c>
      <c r="D180" s="12" t="s">
        <v>364</v>
      </c>
      <c r="E180" s="12" t="s">
        <v>368</v>
      </c>
      <c r="F180" s="4" t="s">
        <v>293</v>
      </c>
    </row>
    <row r="181" spans="1:6" x14ac:dyDescent="0.2">
      <c r="A181" s="16" t="s">
        <v>427</v>
      </c>
      <c r="B181" s="16">
        <v>33.305359000000003</v>
      </c>
      <c r="C181" s="16">
        <v>35.78454</v>
      </c>
      <c r="D181" s="12" t="s">
        <v>364</v>
      </c>
      <c r="E181" s="12" t="s">
        <v>368</v>
      </c>
      <c r="F181" t="s">
        <v>9</v>
      </c>
    </row>
    <row r="182" spans="1:6" x14ac:dyDescent="0.2">
      <c r="A182" s="16" t="s">
        <v>49</v>
      </c>
      <c r="B182" s="16">
        <v>46.819070000000004</v>
      </c>
      <c r="C182" s="16">
        <v>-65.484589999999997</v>
      </c>
      <c r="D182" s="12" t="s">
        <v>361</v>
      </c>
      <c r="E182" s="12" t="s">
        <v>367</v>
      </c>
      <c r="F182" t="s">
        <v>9</v>
      </c>
    </row>
    <row r="183" spans="1:6" x14ac:dyDescent="0.2">
      <c r="A183" s="16" t="s">
        <v>17</v>
      </c>
      <c r="B183" s="16">
        <v>52.251682000000002</v>
      </c>
      <c r="C183" s="16">
        <v>4.4375159999999996</v>
      </c>
      <c r="D183" s="12" t="s">
        <v>363</v>
      </c>
      <c r="E183" s="12" t="s">
        <v>368</v>
      </c>
      <c r="F183" t="s">
        <v>9</v>
      </c>
    </row>
    <row r="184" spans="1:6" x14ac:dyDescent="0.2">
      <c r="A184" t="s">
        <v>11</v>
      </c>
      <c r="B184">
        <v>51.626117000000001</v>
      </c>
      <c r="C184">
        <v>-120.082572</v>
      </c>
      <c r="D184" s="12" t="s">
        <v>362</v>
      </c>
      <c r="E184" s="12" t="s">
        <v>367</v>
      </c>
      <c r="F184" s="4" t="s">
        <v>9</v>
      </c>
    </row>
    <row r="185" spans="1:6" x14ac:dyDescent="0.2">
      <c r="A185" s="16" t="s">
        <v>23</v>
      </c>
      <c r="B185" s="16">
        <v>38.598783300000001</v>
      </c>
      <c r="C185" s="16">
        <v>-89.920074200000002</v>
      </c>
      <c r="D185" s="12" t="s">
        <v>361</v>
      </c>
      <c r="E185" s="12" t="s">
        <v>367</v>
      </c>
      <c r="F185" t="s">
        <v>9</v>
      </c>
    </row>
    <row r="186" spans="1:6" x14ac:dyDescent="0.2">
      <c r="A186" s="3" t="s">
        <v>95</v>
      </c>
      <c r="B186">
        <v>44.1</v>
      </c>
      <c r="C186">
        <v>-88.63</v>
      </c>
      <c r="D186" s="12" t="s">
        <v>361</v>
      </c>
      <c r="E186" s="12" t="s">
        <v>367</v>
      </c>
      <c r="F186" s="4" t="s">
        <v>293</v>
      </c>
    </row>
    <row r="187" spans="1:6" x14ac:dyDescent="0.2">
      <c r="A187" s="3" t="s">
        <v>76</v>
      </c>
      <c r="B187">
        <v>37.281370000000003</v>
      </c>
      <c r="C187">
        <v>-107.06855</v>
      </c>
      <c r="D187" s="12" t="s">
        <v>360</v>
      </c>
      <c r="E187" s="12" t="s">
        <v>367</v>
      </c>
      <c r="F187" s="4" t="s">
        <v>293</v>
      </c>
    </row>
    <row r="188" spans="1:6" x14ac:dyDescent="0.2">
      <c r="A188" s="16" t="s">
        <v>409</v>
      </c>
      <c r="B188" s="16">
        <v>49.393169999999998</v>
      </c>
      <c r="C188" s="16">
        <v>-111.10453699999999</v>
      </c>
      <c r="D188" s="12" t="s">
        <v>362</v>
      </c>
      <c r="E188" s="12" t="s">
        <v>367</v>
      </c>
      <c r="F188" t="s">
        <v>9</v>
      </c>
    </row>
    <row r="189" spans="1:6" x14ac:dyDescent="0.2">
      <c r="A189" t="s">
        <v>134</v>
      </c>
      <c r="B189">
        <v>38.861870000000003</v>
      </c>
      <c r="C189">
        <v>33.426304999999999</v>
      </c>
      <c r="D189" s="12" t="s">
        <v>364</v>
      </c>
      <c r="E189" s="12" t="s">
        <v>368</v>
      </c>
      <c r="F189" s="4" t="s">
        <v>293</v>
      </c>
    </row>
    <row r="190" spans="1:6" x14ac:dyDescent="0.2">
      <c r="A190" s="3" t="s">
        <v>135</v>
      </c>
      <c r="B190">
        <v>39.687362</v>
      </c>
      <c r="C190">
        <v>32.914831999999997</v>
      </c>
      <c r="D190" s="12" t="s">
        <v>364</v>
      </c>
      <c r="E190" s="12" t="s">
        <v>368</v>
      </c>
      <c r="F190" s="4" t="s">
        <v>293</v>
      </c>
    </row>
    <row r="191" spans="1:6" x14ac:dyDescent="0.2">
      <c r="A191" t="s">
        <v>136</v>
      </c>
      <c r="B191">
        <v>39.491481999999998</v>
      </c>
      <c r="C191">
        <v>33.572392000000001</v>
      </c>
      <c r="D191" s="12" t="s">
        <v>364</v>
      </c>
      <c r="E191" s="12" t="s">
        <v>368</v>
      </c>
      <c r="F191" s="4" t="s">
        <v>9</v>
      </c>
    </row>
    <row r="192" spans="1:6" x14ac:dyDescent="0.2">
      <c r="A192" t="s">
        <v>137</v>
      </c>
      <c r="B192">
        <v>39.491481999999998</v>
      </c>
      <c r="C192">
        <v>33.572392000000001</v>
      </c>
      <c r="D192" s="12" t="s">
        <v>364</v>
      </c>
      <c r="E192" s="12" t="s">
        <v>368</v>
      </c>
      <c r="F192" s="4" t="s">
        <v>293</v>
      </c>
    </row>
    <row r="193" spans="1:6" x14ac:dyDescent="0.2">
      <c r="A193" s="3" t="s">
        <v>138</v>
      </c>
      <c r="B193">
        <v>40.244002000000002</v>
      </c>
      <c r="C193">
        <v>42.280745000000003</v>
      </c>
      <c r="D193" s="12" t="s">
        <v>366</v>
      </c>
      <c r="E193" s="12" t="s">
        <v>368</v>
      </c>
      <c r="F193" s="4" t="s">
        <v>293</v>
      </c>
    </row>
    <row r="194" spans="1:6" x14ac:dyDescent="0.2">
      <c r="A194" s="3" t="s">
        <v>139</v>
      </c>
      <c r="B194">
        <v>37.101149999999997</v>
      </c>
      <c r="C194">
        <v>70.555409999999995</v>
      </c>
      <c r="D194" s="12" t="s">
        <v>366</v>
      </c>
      <c r="E194" s="12" t="s">
        <v>368</v>
      </c>
      <c r="F194" s="4" t="s">
        <v>293</v>
      </c>
    </row>
    <row r="195" spans="1:6" x14ac:dyDescent="0.2">
      <c r="A195" s="3" t="s">
        <v>140</v>
      </c>
      <c r="B195">
        <v>31.794902</v>
      </c>
      <c r="C195">
        <v>64.584155999999993</v>
      </c>
      <c r="D195" s="12" t="s">
        <v>366</v>
      </c>
      <c r="E195" s="12" t="s">
        <v>368</v>
      </c>
      <c r="F195" s="4" t="s">
        <v>293</v>
      </c>
    </row>
    <row r="196" spans="1:6" x14ac:dyDescent="0.2">
      <c r="A196" s="3" t="s">
        <v>141</v>
      </c>
      <c r="B196">
        <v>31.501234</v>
      </c>
      <c r="C196">
        <v>64.358630000000005</v>
      </c>
      <c r="D196" s="12" t="s">
        <v>366</v>
      </c>
      <c r="E196" s="12" t="s">
        <v>368</v>
      </c>
      <c r="F196" s="4" t="s">
        <v>293</v>
      </c>
    </row>
    <row r="197" spans="1:6" x14ac:dyDescent="0.2">
      <c r="A197" s="3" t="s">
        <v>142</v>
      </c>
      <c r="B197">
        <v>31.397403000000001</v>
      </c>
      <c r="C197">
        <v>65.925388999999996</v>
      </c>
      <c r="D197" s="12" t="s">
        <v>366</v>
      </c>
      <c r="E197" s="12" t="s">
        <v>368</v>
      </c>
      <c r="F197" s="4" t="s">
        <v>293</v>
      </c>
    </row>
    <row r="198" spans="1:6" x14ac:dyDescent="0.2">
      <c r="A198" s="3" t="s">
        <v>143</v>
      </c>
      <c r="B198">
        <v>32.164834999999997</v>
      </c>
      <c r="C198">
        <v>63.429217000000001</v>
      </c>
      <c r="D198" s="12" t="s">
        <v>366</v>
      </c>
      <c r="E198" s="12" t="s">
        <v>368</v>
      </c>
      <c r="F198" s="4" t="s">
        <v>293</v>
      </c>
    </row>
    <row r="199" spans="1:6" x14ac:dyDescent="0.2">
      <c r="A199" s="3" t="s">
        <v>144</v>
      </c>
      <c r="B199">
        <v>32.321767000000001</v>
      </c>
      <c r="C199">
        <v>65.117188999999996</v>
      </c>
      <c r="D199" s="12" t="s">
        <v>366</v>
      </c>
      <c r="E199" s="12" t="s">
        <v>368</v>
      </c>
      <c r="F199" s="4" t="s">
        <v>293</v>
      </c>
    </row>
    <row r="200" spans="1:6" x14ac:dyDescent="0.2">
      <c r="A200" s="3" t="s">
        <v>145</v>
      </c>
      <c r="B200">
        <v>31.850019</v>
      </c>
      <c r="C200">
        <v>65.885392999999993</v>
      </c>
      <c r="D200" s="12" t="s">
        <v>366</v>
      </c>
      <c r="E200" s="12" t="s">
        <v>368</v>
      </c>
      <c r="F200" s="4" t="s">
        <v>293</v>
      </c>
    </row>
    <row r="201" spans="1:6" x14ac:dyDescent="0.2">
      <c r="A201" s="3" t="s">
        <v>146</v>
      </c>
      <c r="B201">
        <v>31.940314999999998</v>
      </c>
      <c r="C201">
        <v>66.651757000000003</v>
      </c>
      <c r="D201" s="12" t="s">
        <v>366</v>
      </c>
      <c r="E201" s="12" t="s">
        <v>368</v>
      </c>
      <c r="F201" s="4" t="s">
        <v>293</v>
      </c>
    </row>
    <row r="202" spans="1:6" x14ac:dyDescent="0.2">
      <c r="A202" s="3" t="s">
        <v>147</v>
      </c>
      <c r="B202">
        <v>33.751680999999998</v>
      </c>
      <c r="C202">
        <v>69.148685</v>
      </c>
      <c r="D202" s="12" t="s">
        <v>366</v>
      </c>
      <c r="E202" s="12" t="s">
        <v>368</v>
      </c>
      <c r="F202" s="4" t="s">
        <v>293</v>
      </c>
    </row>
    <row r="203" spans="1:6" x14ac:dyDescent="0.2">
      <c r="A203" s="3" t="s">
        <v>148</v>
      </c>
      <c r="B203">
        <v>34.926440999999997</v>
      </c>
      <c r="C203">
        <v>68.351308000000003</v>
      </c>
      <c r="D203" s="12" t="s">
        <v>366</v>
      </c>
      <c r="E203" s="12" t="s">
        <v>368</v>
      </c>
      <c r="F203" s="4" t="s">
        <v>293</v>
      </c>
    </row>
    <row r="204" spans="1:6" x14ac:dyDescent="0.2">
      <c r="A204" s="3" t="s">
        <v>149</v>
      </c>
      <c r="B204">
        <v>34.964353000000003</v>
      </c>
      <c r="C204">
        <v>68.650520999999998</v>
      </c>
      <c r="D204" s="12" t="s">
        <v>366</v>
      </c>
      <c r="E204" s="12" t="s">
        <v>368</v>
      </c>
      <c r="F204" s="4" t="s">
        <v>293</v>
      </c>
    </row>
    <row r="205" spans="1:6" x14ac:dyDescent="0.2">
      <c r="A205" s="3" t="s">
        <v>150</v>
      </c>
      <c r="B205">
        <v>34.381667999999998</v>
      </c>
      <c r="C205">
        <v>62.191648000000001</v>
      </c>
      <c r="D205" s="12" t="s">
        <v>366</v>
      </c>
      <c r="E205" s="12" t="s">
        <v>368</v>
      </c>
      <c r="F205" s="4" t="s">
        <v>293</v>
      </c>
    </row>
    <row r="206" spans="1:6" x14ac:dyDescent="0.2">
      <c r="A206" s="3" t="s">
        <v>151</v>
      </c>
      <c r="B206">
        <v>33.891078</v>
      </c>
      <c r="C206">
        <v>68.659638000000001</v>
      </c>
      <c r="D206" s="12" t="s">
        <v>366</v>
      </c>
      <c r="E206" s="12" t="s">
        <v>368</v>
      </c>
      <c r="F206" s="4" t="s">
        <v>293</v>
      </c>
    </row>
    <row r="207" spans="1:6" x14ac:dyDescent="0.2">
      <c r="A207" t="s">
        <v>152</v>
      </c>
      <c r="B207">
        <v>34.905862999999997</v>
      </c>
      <c r="C207">
        <v>68.257185000000007</v>
      </c>
      <c r="D207" s="12" t="s">
        <v>366</v>
      </c>
      <c r="E207" s="12" t="s">
        <v>368</v>
      </c>
      <c r="F207" s="4" t="s">
        <v>293</v>
      </c>
    </row>
    <row r="208" spans="1:6" x14ac:dyDescent="0.2">
      <c r="A208" t="s">
        <v>153</v>
      </c>
      <c r="B208">
        <v>35.811718999999997</v>
      </c>
      <c r="C208">
        <v>51.473042999999997</v>
      </c>
      <c r="D208" s="12" t="s">
        <v>366</v>
      </c>
      <c r="E208" s="12" t="s">
        <v>368</v>
      </c>
      <c r="F208" s="4" t="s">
        <v>293</v>
      </c>
    </row>
    <row r="209" spans="1:6" x14ac:dyDescent="0.2">
      <c r="A209" s="3" t="s">
        <v>154</v>
      </c>
      <c r="B209">
        <v>29.272638000000001</v>
      </c>
      <c r="C209">
        <v>52.664414000000001</v>
      </c>
      <c r="D209" s="12" t="s">
        <v>366</v>
      </c>
      <c r="E209" s="12" t="s">
        <v>368</v>
      </c>
      <c r="F209" s="4" t="s">
        <v>293</v>
      </c>
    </row>
    <row r="210" spans="1:6" x14ac:dyDescent="0.2">
      <c r="A210" s="3" t="s">
        <v>155</v>
      </c>
      <c r="B210">
        <v>29.719025999999999</v>
      </c>
      <c r="C210">
        <v>52.590890999999999</v>
      </c>
      <c r="D210" s="12" t="s">
        <v>366</v>
      </c>
      <c r="E210" s="12" t="s">
        <v>368</v>
      </c>
      <c r="F210" s="4" t="s">
        <v>293</v>
      </c>
    </row>
    <row r="211" spans="1:6" x14ac:dyDescent="0.2">
      <c r="A211" s="3" t="s">
        <v>156</v>
      </c>
      <c r="B211">
        <v>35.333804999999998</v>
      </c>
      <c r="C211">
        <v>47.232081999999998</v>
      </c>
      <c r="D211" s="12" t="s">
        <v>366</v>
      </c>
      <c r="E211" s="12" t="s">
        <v>368</v>
      </c>
      <c r="F211" s="4" t="s">
        <v>293</v>
      </c>
    </row>
    <row r="212" spans="1:6" x14ac:dyDescent="0.2">
      <c r="A212" t="s">
        <v>157</v>
      </c>
      <c r="B212">
        <v>35.689036000000002</v>
      </c>
      <c r="C212">
        <v>51.388361000000003</v>
      </c>
      <c r="D212" s="12" t="s">
        <v>366</v>
      </c>
      <c r="E212" s="12" t="s">
        <v>368</v>
      </c>
      <c r="F212" s="4" t="s">
        <v>293</v>
      </c>
    </row>
    <row r="213" spans="1:6" x14ac:dyDescent="0.2">
      <c r="A213" s="3" t="s">
        <v>158</v>
      </c>
      <c r="B213">
        <v>39.553285000000002</v>
      </c>
      <c r="C213">
        <v>33.123888000000001</v>
      </c>
      <c r="D213" s="12" t="s">
        <v>364</v>
      </c>
      <c r="E213" s="12" t="s">
        <v>368</v>
      </c>
      <c r="F213" s="4" t="s">
        <v>293</v>
      </c>
    </row>
    <row r="214" spans="1:6" x14ac:dyDescent="0.2">
      <c r="A214" s="3" t="s">
        <v>159</v>
      </c>
      <c r="B214">
        <v>34.228869000000003</v>
      </c>
      <c r="C214">
        <v>70.193233000000006</v>
      </c>
      <c r="D214" s="12" t="s">
        <v>366</v>
      </c>
      <c r="E214" s="12" t="s">
        <v>368</v>
      </c>
      <c r="F214" s="4" t="s">
        <v>293</v>
      </c>
    </row>
    <row r="215" spans="1:6" x14ac:dyDescent="0.2">
      <c r="A215" t="s">
        <v>160</v>
      </c>
      <c r="B215">
        <v>46.580626000000002</v>
      </c>
      <c r="C215">
        <v>23.787901999999999</v>
      </c>
      <c r="D215" s="12" t="s">
        <v>363</v>
      </c>
      <c r="E215" s="12" t="s">
        <v>368</v>
      </c>
      <c r="F215" s="4" t="s">
        <v>9</v>
      </c>
    </row>
    <row r="216" spans="1:6" x14ac:dyDescent="0.2">
      <c r="A216" s="3" t="s">
        <v>161</v>
      </c>
      <c r="B216">
        <v>34.439337000000002</v>
      </c>
      <c r="C216">
        <v>63.114106</v>
      </c>
      <c r="D216" s="12" t="s">
        <v>366</v>
      </c>
      <c r="E216" s="12" t="s">
        <v>368</v>
      </c>
      <c r="F216" s="4" t="s">
        <v>293</v>
      </c>
    </row>
    <row r="217" spans="1:6" x14ac:dyDescent="0.2">
      <c r="A217" s="3" t="s">
        <v>162</v>
      </c>
      <c r="B217">
        <v>43.557597000000001</v>
      </c>
      <c r="C217">
        <v>21.691519</v>
      </c>
      <c r="D217" s="12" t="s">
        <v>364</v>
      </c>
      <c r="E217" s="12" t="s">
        <v>368</v>
      </c>
      <c r="F217" s="4" t="s">
        <v>293</v>
      </c>
    </row>
    <row r="218" spans="1:6" x14ac:dyDescent="0.2">
      <c r="A218" s="3" t="s">
        <v>163</v>
      </c>
      <c r="B218">
        <v>33.665202000000001</v>
      </c>
      <c r="C218">
        <v>48.786338999999998</v>
      </c>
      <c r="D218" s="12" t="s">
        <v>366</v>
      </c>
      <c r="E218" s="12" t="s">
        <v>368</v>
      </c>
      <c r="F218" s="4" t="s">
        <v>293</v>
      </c>
    </row>
    <row r="219" spans="1:6" x14ac:dyDescent="0.2">
      <c r="A219" s="3" t="s">
        <v>164</v>
      </c>
      <c r="B219">
        <v>41.2</v>
      </c>
      <c r="C219">
        <v>69.900000000000006</v>
      </c>
      <c r="D219" s="12" t="s">
        <v>366</v>
      </c>
      <c r="E219" s="12" t="s">
        <v>368</v>
      </c>
      <c r="F219" s="4" t="s">
        <v>293</v>
      </c>
    </row>
    <row r="220" spans="1:6" x14ac:dyDescent="0.2">
      <c r="A220" s="3" t="s">
        <v>165</v>
      </c>
      <c r="B220">
        <v>41.878003</v>
      </c>
      <c r="C220">
        <v>-93.097701999999998</v>
      </c>
      <c r="D220" s="12" t="s">
        <v>362</v>
      </c>
      <c r="E220" s="12" t="s">
        <v>367</v>
      </c>
      <c r="F220" s="4" t="s">
        <v>293</v>
      </c>
    </row>
    <row r="221" spans="1:6" x14ac:dyDescent="0.2">
      <c r="A221" s="3" t="s">
        <v>122</v>
      </c>
      <c r="B221">
        <v>37.874166670000001</v>
      </c>
      <c r="C221">
        <v>14.028333330000001</v>
      </c>
      <c r="D221" s="12" t="s">
        <v>364</v>
      </c>
      <c r="E221" s="12" t="s">
        <v>368</v>
      </c>
      <c r="F221" s="4" t="s">
        <v>293</v>
      </c>
    </row>
    <row r="222" spans="1:6" x14ac:dyDescent="0.2">
      <c r="A222" t="s">
        <v>382</v>
      </c>
      <c r="B222">
        <v>53.017863888900003</v>
      </c>
      <c r="C222">
        <v>18.5375305556</v>
      </c>
      <c r="D222" s="12" t="s">
        <v>363</v>
      </c>
      <c r="E222" s="12" t="s">
        <v>368</v>
      </c>
      <c r="F222" t="s">
        <v>9</v>
      </c>
    </row>
    <row r="223" spans="1:6" x14ac:dyDescent="0.2">
      <c r="A223" s="3" t="s">
        <v>236</v>
      </c>
      <c r="B223">
        <v>43.24</v>
      </c>
      <c r="C223">
        <v>-105.18</v>
      </c>
      <c r="D223" s="12" t="s">
        <v>362</v>
      </c>
      <c r="E223" s="12" t="s">
        <v>367</v>
      </c>
      <c r="F223" s="4" t="s">
        <v>293</v>
      </c>
    </row>
    <row r="224" spans="1:6" x14ac:dyDescent="0.2">
      <c r="A224" s="3" t="s">
        <v>237</v>
      </c>
      <c r="B224">
        <v>43.55</v>
      </c>
      <c r="C224">
        <v>-105.1</v>
      </c>
      <c r="D224" s="12" t="s">
        <v>362</v>
      </c>
      <c r="E224" s="12" t="s">
        <v>367</v>
      </c>
      <c r="F224" s="4" t="s">
        <v>293</v>
      </c>
    </row>
    <row r="225" spans="1:6" x14ac:dyDescent="0.2">
      <c r="A225" s="3" t="s">
        <v>238</v>
      </c>
      <c r="B225">
        <v>43.34</v>
      </c>
      <c r="C225">
        <v>-105.13</v>
      </c>
      <c r="D225" s="12" t="s">
        <v>362</v>
      </c>
      <c r="E225" s="12" t="s">
        <v>367</v>
      </c>
      <c r="F225" s="4" t="s">
        <v>293</v>
      </c>
    </row>
    <row r="226" spans="1:6" x14ac:dyDescent="0.2">
      <c r="A226" s="3" t="s">
        <v>239</v>
      </c>
      <c r="B226">
        <v>40.630000000000003</v>
      </c>
      <c r="C226">
        <v>-105.27</v>
      </c>
      <c r="D226" s="12" t="s">
        <v>362</v>
      </c>
      <c r="E226" s="12" t="s">
        <v>367</v>
      </c>
      <c r="F226" s="4" t="s">
        <v>293</v>
      </c>
    </row>
    <row r="227" spans="1:6" x14ac:dyDescent="0.2">
      <c r="A227" s="3" t="s">
        <v>87</v>
      </c>
      <c r="B227">
        <v>41.539096000000001</v>
      </c>
      <c r="C227">
        <v>-82.861797999999993</v>
      </c>
      <c r="D227" s="12" t="s">
        <v>361</v>
      </c>
      <c r="E227" s="12" t="s">
        <v>367</v>
      </c>
      <c r="F227" s="4" t="s">
        <v>293</v>
      </c>
    </row>
    <row r="228" spans="1:6" x14ac:dyDescent="0.2">
      <c r="A228" s="3" t="s">
        <v>106</v>
      </c>
      <c r="B228">
        <v>40.888295999999997</v>
      </c>
      <c r="C228">
        <v>-3.583885</v>
      </c>
      <c r="D228" s="12" t="s">
        <v>364</v>
      </c>
      <c r="E228" s="12" t="s">
        <v>368</v>
      </c>
      <c r="F228" s="4" t="s">
        <v>9</v>
      </c>
    </row>
    <row r="229" spans="1:6" x14ac:dyDescent="0.2">
      <c r="A229" s="3" t="s">
        <v>108</v>
      </c>
      <c r="B229">
        <v>-41.058101999999998</v>
      </c>
      <c r="C229">
        <v>-70.514649000000006</v>
      </c>
      <c r="D229" s="12" t="s">
        <v>365</v>
      </c>
      <c r="E229" s="12" t="s">
        <v>367</v>
      </c>
      <c r="F229" s="4" t="s">
        <v>293</v>
      </c>
    </row>
    <row r="230" spans="1:6" x14ac:dyDescent="0.2">
      <c r="A230" s="3" t="s">
        <v>240</v>
      </c>
      <c r="B230">
        <v>47.61803776</v>
      </c>
      <c r="C230">
        <v>-119.68301150000001</v>
      </c>
      <c r="D230" s="12" t="s">
        <v>362</v>
      </c>
      <c r="E230" s="12" t="s">
        <v>367</v>
      </c>
      <c r="F230" s="4" t="s">
        <v>293</v>
      </c>
    </row>
    <row r="231" spans="1:6" x14ac:dyDescent="0.2">
      <c r="A231" s="3" t="s">
        <v>241</v>
      </c>
      <c r="B231">
        <v>44.604563579999997</v>
      </c>
      <c r="C231">
        <v>-120.1924183</v>
      </c>
      <c r="D231" s="12" t="s">
        <v>362</v>
      </c>
      <c r="E231" s="12" t="s">
        <v>367</v>
      </c>
      <c r="F231" s="4" t="s">
        <v>293</v>
      </c>
    </row>
    <row r="232" spans="1:6" x14ac:dyDescent="0.2">
      <c r="A232" s="3" t="s">
        <v>242</v>
      </c>
      <c r="B232">
        <v>46.748309980000002</v>
      </c>
      <c r="C232">
        <v>-119.361636</v>
      </c>
      <c r="D232" s="12" t="s">
        <v>362</v>
      </c>
      <c r="E232" s="12" t="s">
        <v>367</v>
      </c>
      <c r="F232" s="4" t="s">
        <v>293</v>
      </c>
    </row>
    <row r="233" spans="1:6" x14ac:dyDescent="0.2">
      <c r="A233" s="3" t="s">
        <v>116</v>
      </c>
      <c r="B233">
        <v>49.582467000000001</v>
      </c>
      <c r="C233">
        <v>-114.2063567</v>
      </c>
      <c r="D233" s="12" t="s">
        <v>362</v>
      </c>
      <c r="E233" s="12" t="s">
        <v>367</v>
      </c>
      <c r="F233" s="4" t="s">
        <v>293</v>
      </c>
    </row>
    <row r="234" spans="1:6" x14ac:dyDescent="0.2">
      <c r="A234" s="3" t="s">
        <v>115</v>
      </c>
      <c r="B234">
        <v>49.456031690000003</v>
      </c>
      <c r="C234">
        <v>-114.409728</v>
      </c>
      <c r="D234" s="12" t="s">
        <v>362</v>
      </c>
      <c r="E234" s="12" t="s">
        <v>367</v>
      </c>
      <c r="F234" s="4" t="s">
        <v>293</v>
      </c>
    </row>
    <row r="235" spans="1:6" x14ac:dyDescent="0.2">
      <c r="A235" s="3" t="s">
        <v>117</v>
      </c>
      <c r="B235">
        <v>50.897413</v>
      </c>
      <c r="C235">
        <v>-111.94898329999999</v>
      </c>
      <c r="D235" s="12" t="s">
        <v>362</v>
      </c>
      <c r="E235" s="12" t="s">
        <v>367</v>
      </c>
      <c r="F235" s="4" t="s">
        <v>293</v>
      </c>
    </row>
    <row r="236" spans="1:6" x14ac:dyDescent="0.2">
      <c r="A236" s="3" t="s">
        <v>243</v>
      </c>
      <c r="B236">
        <v>42.35</v>
      </c>
      <c r="C236">
        <v>-118.65</v>
      </c>
      <c r="D236" s="12" t="s">
        <v>362</v>
      </c>
      <c r="E236" s="12" t="s">
        <v>367</v>
      </c>
      <c r="F236" s="4" t="s">
        <v>293</v>
      </c>
    </row>
    <row r="237" spans="1:6" x14ac:dyDescent="0.2">
      <c r="A237" s="3" t="s">
        <v>245</v>
      </c>
      <c r="B237">
        <v>43.19</v>
      </c>
      <c r="C237">
        <v>-120</v>
      </c>
      <c r="D237" s="12" t="s">
        <v>362</v>
      </c>
      <c r="E237" s="12" t="s">
        <v>367</v>
      </c>
      <c r="F237" s="4" t="s">
        <v>293</v>
      </c>
    </row>
    <row r="238" spans="1:6" x14ac:dyDescent="0.2">
      <c r="A238" s="3" t="s">
        <v>246</v>
      </c>
      <c r="B238">
        <v>43.24</v>
      </c>
      <c r="C238">
        <v>-120.4</v>
      </c>
      <c r="D238" s="12" t="s">
        <v>362</v>
      </c>
      <c r="E238" s="12" t="s">
        <v>367</v>
      </c>
      <c r="F238" s="4" t="s">
        <v>9</v>
      </c>
    </row>
    <row r="239" spans="1:6" x14ac:dyDescent="0.2">
      <c r="A239" s="16" t="s">
        <v>418</v>
      </c>
      <c r="B239" s="16">
        <v>43.8</v>
      </c>
      <c r="C239">
        <v>-119</v>
      </c>
      <c r="D239" s="12" t="s">
        <v>362</v>
      </c>
      <c r="E239" s="12" t="s">
        <v>367</v>
      </c>
      <c r="F239" t="s">
        <v>9</v>
      </c>
    </row>
    <row r="240" spans="1:6" x14ac:dyDescent="0.2">
      <c r="A240" s="3" t="s">
        <v>247</v>
      </c>
      <c r="B240">
        <v>44.36</v>
      </c>
      <c r="C240">
        <v>-118.93</v>
      </c>
      <c r="D240" s="12" t="s">
        <v>362</v>
      </c>
      <c r="E240" s="12" t="s">
        <v>367</v>
      </c>
      <c r="F240" s="4" t="s">
        <v>293</v>
      </c>
    </row>
    <row r="241" spans="1:6" x14ac:dyDescent="0.2">
      <c r="A241" s="3" t="s">
        <v>248</v>
      </c>
      <c r="B241">
        <v>44.57</v>
      </c>
      <c r="C241">
        <v>-119.65</v>
      </c>
      <c r="D241" s="12" t="s">
        <v>362</v>
      </c>
      <c r="E241" s="12" t="s">
        <v>367</v>
      </c>
      <c r="F241" s="4" t="s">
        <v>293</v>
      </c>
    </row>
    <row r="242" spans="1:6" x14ac:dyDescent="0.2">
      <c r="A242" s="3" t="s">
        <v>244</v>
      </c>
      <c r="B242">
        <v>43.42</v>
      </c>
      <c r="C242">
        <v>-119.62</v>
      </c>
      <c r="D242" s="12" t="s">
        <v>362</v>
      </c>
      <c r="E242" s="12" t="s">
        <v>367</v>
      </c>
      <c r="F242" s="4" t="s">
        <v>293</v>
      </c>
    </row>
    <row r="243" spans="1:6" x14ac:dyDescent="0.2">
      <c r="A243" s="16" t="s">
        <v>41</v>
      </c>
      <c r="B243" s="16">
        <v>42.519529300000002</v>
      </c>
      <c r="C243" s="16">
        <v>-0.71129399999999998</v>
      </c>
      <c r="D243" s="23" t="s">
        <v>363</v>
      </c>
      <c r="E243" s="23" t="s">
        <v>368</v>
      </c>
      <c r="F243" t="s">
        <v>9</v>
      </c>
    </row>
    <row r="244" spans="1:6" x14ac:dyDescent="0.2">
      <c r="A244" s="16" t="s">
        <v>40</v>
      </c>
      <c r="B244" s="16">
        <v>42.568105500000001</v>
      </c>
      <c r="C244" s="16">
        <v>7.6022800000000001E-2</v>
      </c>
      <c r="D244" s="12" t="s">
        <v>363</v>
      </c>
      <c r="E244" s="12" t="s">
        <v>368</v>
      </c>
      <c r="F244" t="s">
        <v>9</v>
      </c>
    </row>
    <row r="245" spans="1:6" x14ac:dyDescent="0.2">
      <c r="A245" s="16" t="s">
        <v>38</v>
      </c>
      <c r="B245" s="16">
        <v>42.6577324</v>
      </c>
      <c r="C245" s="16">
        <v>-5.9623700000000002E-2</v>
      </c>
      <c r="D245" s="12" t="s">
        <v>363</v>
      </c>
      <c r="E245" s="12" t="s">
        <v>368</v>
      </c>
      <c r="F245" t="s">
        <v>9</v>
      </c>
    </row>
    <row r="246" spans="1:6" x14ac:dyDescent="0.2">
      <c r="A246" s="16" t="s">
        <v>42</v>
      </c>
      <c r="B246" s="16">
        <v>42.679759599999997</v>
      </c>
      <c r="C246" s="16">
        <v>0.6199867</v>
      </c>
      <c r="D246" s="12" t="s">
        <v>363</v>
      </c>
      <c r="E246" s="12" t="s">
        <v>368</v>
      </c>
      <c r="F246" t="s">
        <v>9</v>
      </c>
    </row>
    <row r="247" spans="1:6" x14ac:dyDescent="0.2">
      <c r="A247" s="16" t="s">
        <v>39</v>
      </c>
      <c r="B247" s="16">
        <v>42.190340999999997</v>
      </c>
      <c r="C247" s="16">
        <v>-9.3511999999999998E-2</v>
      </c>
      <c r="D247" s="12" t="s">
        <v>363</v>
      </c>
      <c r="E247" s="12" t="s">
        <v>368</v>
      </c>
      <c r="F247" t="s">
        <v>9</v>
      </c>
    </row>
    <row r="248" spans="1:6" x14ac:dyDescent="0.2">
      <c r="A248" t="s">
        <v>423</v>
      </c>
      <c r="B248" s="16">
        <v>47.026063000000001</v>
      </c>
      <c r="C248" s="16">
        <v>18.918521999999999</v>
      </c>
      <c r="D248" s="12" t="s">
        <v>363</v>
      </c>
      <c r="E248" s="12" t="s">
        <v>368</v>
      </c>
      <c r="F248" t="s">
        <v>9</v>
      </c>
    </row>
    <row r="249" spans="1:6" x14ac:dyDescent="0.2">
      <c r="A249" t="s">
        <v>278</v>
      </c>
      <c r="B249">
        <v>48.696113799999999</v>
      </c>
      <c r="C249">
        <v>10.925477900000001</v>
      </c>
      <c r="D249" s="12" t="s">
        <v>363</v>
      </c>
      <c r="E249" s="12" t="s">
        <v>368</v>
      </c>
      <c r="F249" s="4" t="s">
        <v>293</v>
      </c>
    </row>
    <row r="250" spans="1:6" x14ac:dyDescent="0.2">
      <c r="A250" s="3" t="s">
        <v>249</v>
      </c>
      <c r="B250">
        <v>38.520000000000003</v>
      </c>
      <c r="C250">
        <v>-109.47</v>
      </c>
      <c r="D250" s="12" t="s">
        <v>360</v>
      </c>
      <c r="E250" s="12" t="s">
        <v>367</v>
      </c>
      <c r="F250" s="4" t="s">
        <v>293</v>
      </c>
    </row>
    <row r="251" spans="1:6" x14ac:dyDescent="0.2">
      <c r="A251" s="3" t="s">
        <v>250</v>
      </c>
      <c r="B251">
        <v>38.75</v>
      </c>
      <c r="C251">
        <v>-109.79</v>
      </c>
      <c r="D251" s="12" t="s">
        <v>360</v>
      </c>
      <c r="E251" s="12" t="s">
        <v>367</v>
      </c>
      <c r="F251" s="4" t="s">
        <v>293</v>
      </c>
    </row>
    <row r="252" spans="1:6" x14ac:dyDescent="0.2">
      <c r="A252" s="16" t="s">
        <v>37</v>
      </c>
      <c r="B252" s="16">
        <v>37.536659999999998</v>
      </c>
      <c r="C252" s="16">
        <v>-77.426609999999997</v>
      </c>
      <c r="D252" s="12" t="s">
        <v>361</v>
      </c>
      <c r="E252" s="12" t="s">
        <v>367</v>
      </c>
      <c r="F252" t="s">
        <v>9</v>
      </c>
    </row>
    <row r="253" spans="1:6" x14ac:dyDescent="0.2">
      <c r="A253" t="s">
        <v>281</v>
      </c>
      <c r="B253">
        <v>40.421896199999999</v>
      </c>
      <c r="C253">
        <v>-3.9482474999999999</v>
      </c>
      <c r="D253" s="12" t="s">
        <v>363</v>
      </c>
      <c r="E253" s="12" t="s">
        <v>368</v>
      </c>
      <c r="F253" s="4" t="s">
        <v>293</v>
      </c>
    </row>
    <row r="254" spans="1:6" x14ac:dyDescent="0.2">
      <c r="A254" t="s">
        <v>282</v>
      </c>
      <c r="B254">
        <v>40.506560100000002</v>
      </c>
      <c r="C254">
        <v>-3.7705128000000001</v>
      </c>
      <c r="D254" s="12" t="s">
        <v>363</v>
      </c>
      <c r="E254" s="12" t="s">
        <v>368</v>
      </c>
      <c r="F254" s="4" t="s">
        <v>293</v>
      </c>
    </row>
    <row r="255" spans="1:6" x14ac:dyDescent="0.2">
      <c r="A255" s="3" t="s">
        <v>99</v>
      </c>
      <c r="B255">
        <v>46.911349999999999</v>
      </c>
      <c r="C255">
        <v>-122.85905</v>
      </c>
      <c r="D255" s="12" t="s">
        <v>362</v>
      </c>
      <c r="E255" s="12" t="s">
        <v>367</v>
      </c>
      <c r="F255" s="4" t="s">
        <v>293</v>
      </c>
    </row>
    <row r="256" spans="1:6" x14ac:dyDescent="0.2">
      <c r="A256" s="3" t="s">
        <v>74</v>
      </c>
      <c r="B256">
        <v>30.495241669999999</v>
      </c>
      <c r="C256">
        <v>-100.0180417</v>
      </c>
      <c r="D256" s="12" t="s">
        <v>360</v>
      </c>
      <c r="E256" s="12" t="s">
        <v>367</v>
      </c>
      <c r="F256" s="4" t="s">
        <v>293</v>
      </c>
    </row>
    <row r="257" spans="1:6" x14ac:dyDescent="0.2">
      <c r="A257" t="s">
        <v>425</v>
      </c>
      <c r="B257" s="16">
        <v>53.618662</v>
      </c>
      <c r="C257" s="16">
        <v>13.042259</v>
      </c>
      <c r="D257" s="12" t="s">
        <v>363</v>
      </c>
      <c r="E257" s="12" t="s">
        <v>368</v>
      </c>
      <c r="F257" t="s">
        <v>9</v>
      </c>
    </row>
    <row r="258" spans="1:6" x14ac:dyDescent="0.2">
      <c r="A258" s="16" t="s">
        <v>8</v>
      </c>
      <c r="B258" s="16">
        <v>-44.292783</v>
      </c>
      <c r="C258" s="16">
        <v>170.11389</v>
      </c>
      <c r="D258" s="12" t="s">
        <v>369</v>
      </c>
      <c r="E258" s="12" t="s">
        <v>367</v>
      </c>
      <c r="F258" t="s">
        <v>9</v>
      </c>
    </row>
    <row r="259" spans="1:6" x14ac:dyDescent="0.2">
      <c r="A259" t="s">
        <v>380</v>
      </c>
      <c r="B259">
        <v>52.948230555599999</v>
      </c>
      <c r="C259">
        <v>23.769608333299999</v>
      </c>
      <c r="D259" s="12" t="s">
        <v>363</v>
      </c>
      <c r="E259" s="12" t="s">
        <v>368</v>
      </c>
      <c r="F259" t="s">
        <v>9</v>
      </c>
    </row>
    <row r="260" spans="1:6" x14ac:dyDescent="0.2">
      <c r="A260" s="3" t="s">
        <v>120</v>
      </c>
      <c r="B260">
        <v>37.756666670000001</v>
      </c>
      <c r="C260">
        <v>15.08638889</v>
      </c>
      <c r="D260" s="12" t="s">
        <v>364</v>
      </c>
      <c r="E260" s="12" t="s">
        <v>368</v>
      </c>
      <c r="F260" s="4" t="s">
        <v>293</v>
      </c>
    </row>
    <row r="261" spans="1:6" x14ac:dyDescent="0.2">
      <c r="A261" t="s">
        <v>279</v>
      </c>
      <c r="B261">
        <v>48.562989000000002</v>
      </c>
      <c r="C261">
        <v>11.257031</v>
      </c>
      <c r="D261" s="12" t="s">
        <v>363</v>
      </c>
      <c r="E261" s="12" t="s">
        <v>368</v>
      </c>
      <c r="F261" s="4" t="s">
        <v>9</v>
      </c>
    </row>
    <row r="262" spans="1:6" x14ac:dyDescent="0.2">
      <c r="A262" s="3" t="s">
        <v>253</v>
      </c>
      <c r="B262">
        <v>39.85</v>
      </c>
      <c r="C262">
        <v>-112.15</v>
      </c>
      <c r="D262" s="12" t="s">
        <v>360</v>
      </c>
      <c r="E262" s="12" t="s">
        <v>367</v>
      </c>
      <c r="F262" s="4" t="s">
        <v>293</v>
      </c>
    </row>
    <row r="263" spans="1:6" x14ac:dyDescent="0.2">
      <c r="A263" s="3" t="s">
        <v>254</v>
      </c>
      <c r="B263">
        <v>40.200000000000003</v>
      </c>
      <c r="C263">
        <v>-112.46</v>
      </c>
      <c r="D263" s="12" t="s">
        <v>362</v>
      </c>
      <c r="E263" s="12" t="s">
        <v>367</v>
      </c>
      <c r="F263" s="4" t="s">
        <v>293</v>
      </c>
    </row>
    <row r="264" spans="1:6" x14ac:dyDescent="0.2">
      <c r="A264" s="3" t="s">
        <v>255</v>
      </c>
      <c r="B264">
        <v>38.6</v>
      </c>
      <c r="C264">
        <v>-113.79</v>
      </c>
      <c r="D264" s="12" t="s">
        <v>360</v>
      </c>
      <c r="E264" s="12" t="s">
        <v>367</v>
      </c>
      <c r="F264" s="4" t="s">
        <v>293</v>
      </c>
    </row>
    <row r="265" spans="1:6" x14ac:dyDescent="0.2">
      <c r="A265" s="3" t="s">
        <v>256</v>
      </c>
      <c r="B265">
        <v>38.520000000000003</v>
      </c>
      <c r="C265">
        <v>-113.55</v>
      </c>
      <c r="D265" s="12" t="s">
        <v>360</v>
      </c>
      <c r="E265" s="12" t="s">
        <v>367</v>
      </c>
      <c r="F265" s="4" t="s">
        <v>293</v>
      </c>
    </row>
    <row r="266" spans="1:6" x14ac:dyDescent="0.2">
      <c r="A266" s="3" t="s">
        <v>257</v>
      </c>
      <c r="B266">
        <v>39.11</v>
      </c>
      <c r="C266">
        <v>-112.74</v>
      </c>
      <c r="D266" s="12" t="s">
        <v>360</v>
      </c>
      <c r="E266" s="12" t="s">
        <v>367</v>
      </c>
      <c r="F266" s="4" t="s">
        <v>293</v>
      </c>
    </row>
    <row r="267" spans="1:6" x14ac:dyDescent="0.2">
      <c r="A267" s="3" t="s">
        <v>61</v>
      </c>
      <c r="B267">
        <v>38.911839999999998</v>
      </c>
      <c r="C267">
        <v>-79.741269000000003</v>
      </c>
      <c r="D267" s="12" t="s">
        <v>361</v>
      </c>
      <c r="E267" s="12" t="s">
        <v>367</v>
      </c>
      <c r="F267" s="4" t="s">
        <v>293</v>
      </c>
    </row>
    <row r="268" spans="1:6" x14ac:dyDescent="0.2">
      <c r="A268" s="3" t="s">
        <v>55</v>
      </c>
      <c r="B268">
        <v>34.06</v>
      </c>
      <c r="C268">
        <v>-116.22</v>
      </c>
      <c r="D268" s="12" t="s">
        <v>360</v>
      </c>
      <c r="E268" s="12" t="s">
        <v>367</v>
      </c>
      <c r="F268" s="4" t="s">
        <v>293</v>
      </c>
    </row>
    <row r="269" spans="1:6" x14ac:dyDescent="0.2">
      <c r="A269" s="3" t="s">
        <v>258</v>
      </c>
      <c r="B269">
        <v>48</v>
      </c>
      <c r="C269">
        <v>-114.04</v>
      </c>
      <c r="D269" s="12" t="s">
        <v>362</v>
      </c>
      <c r="E269" s="12" t="s">
        <v>367</v>
      </c>
      <c r="F269" s="4" t="s">
        <v>293</v>
      </c>
    </row>
    <row r="270" spans="1:6" x14ac:dyDescent="0.2">
      <c r="A270" t="s">
        <v>375</v>
      </c>
      <c r="B270">
        <v>53.176065000000001</v>
      </c>
      <c r="C270">
        <v>18.857361000000001</v>
      </c>
      <c r="D270" s="12" t="s">
        <v>363</v>
      </c>
      <c r="E270" s="12" t="s">
        <v>368</v>
      </c>
      <c r="F270" t="s">
        <v>9</v>
      </c>
    </row>
    <row r="271" spans="1:6" x14ac:dyDescent="0.2">
      <c r="A271" t="s">
        <v>429</v>
      </c>
      <c r="D271" s="12" t="s">
        <v>363</v>
      </c>
      <c r="E271" s="12" t="s">
        <v>368</v>
      </c>
      <c r="F271" t="s">
        <v>9</v>
      </c>
    </row>
    <row r="272" spans="1:6" x14ac:dyDescent="0.2">
      <c r="A272" t="s">
        <v>428</v>
      </c>
      <c r="D272" s="12" t="s">
        <v>363</v>
      </c>
      <c r="E272" s="12" t="s">
        <v>368</v>
      </c>
      <c r="F272" t="s">
        <v>9</v>
      </c>
    </row>
    <row r="273" spans="1:7" x14ac:dyDescent="0.2">
      <c r="A273" t="s">
        <v>397</v>
      </c>
      <c r="B273">
        <v>55.0023792</v>
      </c>
      <c r="C273">
        <v>24.314926199999999</v>
      </c>
      <c r="D273" s="12" t="s">
        <v>363</v>
      </c>
      <c r="E273" s="12" t="s">
        <v>368</v>
      </c>
      <c r="F273" t="s">
        <v>9</v>
      </c>
    </row>
    <row r="274" spans="1:7" x14ac:dyDescent="0.2">
      <c r="A274" t="s">
        <v>398</v>
      </c>
      <c r="B274">
        <v>54.212339999999998</v>
      </c>
      <c r="C274">
        <v>24.585979999999999</v>
      </c>
      <c r="D274" s="12" t="s">
        <v>363</v>
      </c>
      <c r="E274" s="12" t="s">
        <v>368</v>
      </c>
      <c r="F274" t="s">
        <v>9</v>
      </c>
    </row>
    <row r="275" spans="1:7" x14ac:dyDescent="0.2">
      <c r="A275" t="s">
        <v>399</v>
      </c>
      <c r="B275">
        <v>55.513564000000002</v>
      </c>
      <c r="C275">
        <v>26.318168</v>
      </c>
      <c r="D275" s="12" t="s">
        <v>363</v>
      </c>
      <c r="E275" s="12" t="s">
        <v>368</v>
      </c>
      <c r="F275" t="s">
        <v>9</v>
      </c>
    </row>
    <row r="276" spans="1:7" x14ac:dyDescent="0.2">
      <c r="A276" t="s">
        <v>400</v>
      </c>
      <c r="B276">
        <v>54.554033099999998</v>
      </c>
      <c r="C276">
        <v>25.262535</v>
      </c>
      <c r="D276" s="12" t="s">
        <v>363</v>
      </c>
      <c r="E276" s="12" t="s">
        <v>368</v>
      </c>
      <c r="F276" t="s">
        <v>9</v>
      </c>
    </row>
    <row r="277" spans="1:7" x14ac:dyDescent="0.2">
      <c r="A277" t="s">
        <v>378</v>
      </c>
      <c r="B277">
        <v>53.241347222199998</v>
      </c>
      <c r="C277">
        <v>19.747077777800001</v>
      </c>
      <c r="D277" s="23" t="s">
        <v>363</v>
      </c>
      <c r="E277" s="23" t="s">
        <v>368</v>
      </c>
      <c r="F277" t="s">
        <v>9</v>
      </c>
    </row>
    <row r="278" spans="1:7" x14ac:dyDescent="0.2">
      <c r="A278" s="3" t="s">
        <v>129</v>
      </c>
      <c r="B278">
        <v>61.165973899999997</v>
      </c>
      <c r="C278">
        <v>6.9060569999999997</v>
      </c>
      <c r="D278" s="12" t="s">
        <v>363</v>
      </c>
      <c r="E278" s="12" t="s">
        <v>368</v>
      </c>
      <c r="F278" s="4" t="s">
        <v>9</v>
      </c>
    </row>
    <row r="279" spans="1:7" x14ac:dyDescent="0.2">
      <c r="A279" s="16" t="s">
        <v>30</v>
      </c>
      <c r="B279" s="16">
        <v>38.366661999999998</v>
      </c>
      <c r="C279" s="16">
        <v>-81.687081000000006</v>
      </c>
      <c r="D279" s="12" t="s">
        <v>361</v>
      </c>
      <c r="E279" s="12" t="s">
        <v>367</v>
      </c>
      <c r="F279" t="s">
        <v>9</v>
      </c>
    </row>
    <row r="280" spans="1:7" x14ac:dyDescent="0.2">
      <c r="A280" s="3" t="s">
        <v>107</v>
      </c>
      <c r="B280">
        <v>-41.612146000000003</v>
      </c>
      <c r="C280">
        <v>-71.116076000000007</v>
      </c>
      <c r="D280" s="12" t="s">
        <v>365</v>
      </c>
      <c r="E280" s="12" t="s">
        <v>367</v>
      </c>
      <c r="F280" s="4" t="s">
        <v>293</v>
      </c>
    </row>
    <row r="281" spans="1:7" x14ac:dyDescent="0.2">
      <c r="A281" s="3" t="s">
        <v>66</v>
      </c>
      <c r="B281">
        <v>36.426194000000002</v>
      </c>
      <c r="C281">
        <v>-99.397131000000002</v>
      </c>
      <c r="D281" s="12" t="s">
        <v>360</v>
      </c>
      <c r="E281" s="12" t="s">
        <v>367</v>
      </c>
      <c r="F281" s="4" t="s">
        <v>293</v>
      </c>
    </row>
    <row r="282" spans="1:7" x14ac:dyDescent="0.2">
      <c r="A282" s="3" t="s">
        <v>69</v>
      </c>
      <c r="B282">
        <v>35.290937</v>
      </c>
      <c r="C282">
        <v>-99.505347</v>
      </c>
      <c r="D282" s="12" t="s">
        <v>360</v>
      </c>
      <c r="E282" s="12" t="s">
        <v>367</v>
      </c>
      <c r="F282" s="4" t="s">
        <v>9</v>
      </c>
    </row>
    <row r="283" spans="1:7" x14ac:dyDescent="0.2">
      <c r="A283" s="3" t="s">
        <v>70</v>
      </c>
      <c r="B283">
        <v>36.61421</v>
      </c>
      <c r="C283">
        <v>-99.571241999999998</v>
      </c>
      <c r="D283" s="12" t="s">
        <v>360</v>
      </c>
      <c r="E283" s="12" t="s">
        <v>367</v>
      </c>
      <c r="F283" s="4" t="s">
        <v>293</v>
      </c>
    </row>
    <row r="284" spans="1:7" x14ac:dyDescent="0.2">
      <c r="A284" t="s">
        <v>45</v>
      </c>
      <c r="B284">
        <v>47.761000000000003</v>
      </c>
      <c r="C284">
        <v>27.899000000000001</v>
      </c>
      <c r="D284" s="12" t="s">
        <v>363</v>
      </c>
      <c r="E284" s="12" t="s">
        <v>368</v>
      </c>
      <c r="F284" t="s">
        <v>9</v>
      </c>
    </row>
    <row r="285" spans="1:7" x14ac:dyDescent="0.2">
      <c r="A285" t="s">
        <v>10</v>
      </c>
      <c r="B285">
        <v>50.7532</v>
      </c>
      <c r="C285">
        <v>-120.86960000000001</v>
      </c>
      <c r="D285" s="12" t="s">
        <v>362</v>
      </c>
      <c r="E285" s="12" t="s">
        <v>367</v>
      </c>
      <c r="F285" s="4" t="s">
        <v>9</v>
      </c>
      <c r="G285" s="7"/>
    </row>
    <row r="286" spans="1:7" x14ac:dyDescent="0.2">
      <c r="A286" s="3" t="s">
        <v>110</v>
      </c>
      <c r="B286">
        <v>44.526111</v>
      </c>
      <c r="C286">
        <v>-89.571111000000002</v>
      </c>
      <c r="D286" s="12" t="s">
        <v>361</v>
      </c>
      <c r="E286" s="12" t="s">
        <v>367</v>
      </c>
      <c r="F286" s="4" t="s">
        <v>293</v>
      </c>
    </row>
    <row r="287" spans="1:7" x14ac:dyDescent="0.2">
      <c r="A287" s="16" t="s">
        <v>6</v>
      </c>
      <c r="B287" s="16">
        <f>- (44 + (23 + 17.76087/60)/60)</f>
        <v>-44.388266908333335</v>
      </c>
      <c r="C287" s="16">
        <f>170   +(25 + 43.91201/60)/60</f>
        <v>170.42886444722222</v>
      </c>
      <c r="D287" s="12" t="s">
        <v>369</v>
      </c>
      <c r="E287" s="12" t="s">
        <v>367</v>
      </c>
      <c r="F287" t="s">
        <v>9</v>
      </c>
    </row>
    <row r="288" spans="1:7" x14ac:dyDescent="0.2">
      <c r="A288" s="3" t="s">
        <v>96</v>
      </c>
      <c r="B288">
        <v>48.750956000000002</v>
      </c>
      <c r="C288">
        <v>-122.89384</v>
      </c>
      <c r="D288" s="12" t="s">
        <v>362</v>
      </c>
      <c r="E288" s="12" t="s">
        <v>367</v>
      </c>
      <c r="F288" s="4" t="s">
        <v>9</v>
      </c>
    </row>
    <row r="289" spans="1:6" x14ac:dyDescent="0.2">
      <c r="A289" s="16" t="s">
        <v>26</v>
      </c>
      <c r="B289" s="16">
        <v>46.698</v>
      </c>
      <c r="C289" s="16">
        <v>-116.812</v>
      </c>
      <c r="D289" s="12" t="s">
        <v>362</v>
      </c>
      <c r="E289" s="12" t="s">
        <v>367</v>
      </c>
      <c r="F289" t="s">
        <v>9</v>
      </c>
    </row>
    <row r="290" spans="1:6" x14ac:dyDescent="0.2">
      <c r="A290" s="16" t="s">
        <v>16</v>
      </c>
      <c r="B290" s="16">
        <f>37 + (35 + 45.78/60)/60</f>
        <v>37.596049999999998</v>
      </c>
      <c r="C290" s="16">
        <f>127 + (0 + 25.54/60)/60</f>
        <v>127.00709444444445</v>
      </c>
      <c r="D290" s="12" t="s">
        <v>366</v>
      </c>
      <c r="E290" s="12" t="s">
        <v>367</v>
      </c>
      <c r="F290" t="s">
        <v>9</v>
      </c>
    </row>
    <row r="291" spans="1:6" x14ac:dyDescent="0.2">
      <c r="A291" s="3" t="s">
        <v>259</v>
      </c>
      <c r="B291">
        <v>44.59</v>
      </c>
      <c r="C291">
        <v>-104.71</v>
      </c>
      <c r="D291" s="12" t="s">
        <v>362</v>
      </c>
      <c r="E291" s="12" t="s">
        <v>367</v>
      </c>
      <c r="F291" s="4" t="s">
        <v>293</v>
      </c>
    </row>
    <row r="292" spans="1:6" x14ac:dyDescent="0.2">
      <c r="A292" s="3" t="s">
        <v>260</v>
      </c>
      <c r="B292">
        <v>43.87</v>
      </c>
      <c r="C292">
        <v>-103.46</v>
      </c>
      <c r="D292" s="12" t="s">
        <v>362</v>
      </c>
      <c r="E292" s="12" t="s">
        <v>367</v>
      </c>
      <c r="F292" s="4" t="s">
        <v>293</v>
      </c>
    </row>
    <row r="293" spans="1:6" x14ac:dyDescent="0.2">
      <c r="A293" s="3" t="s">
        <v>261</v>
      </c>
      <c r="B293">
        <v>43.62</v>
      </c>
      <c r="C293">
        <v>-103.47</v>
      </c>
      <c r="D293" s="12" t="s">
        <v>362</v>
      </c>
      <c r="E293" s="12" t="s">
        <v>367</v>
      </c>
      <c r="F293" s="4" t="s">
        <v>293</v>
      </c>
    </row>
    <row r="294" spans="1:6" x14ac:dyDescent="0.2">
      <c r="A294" s="3" t="s">
        <v>262</v>
      </c>
      <c r="B294">
        <v>43.71</v>
      </c>
      <c r="C294">
        <v>-102.58</v>
      </c>
      <c r="D294" s="12" t="s">
        <v>362</v>
      </c>
      <c r="E294" s="12" t="s">
        <v>367</v>
      </c>
      <c r="F294" s="4" t="s">
        <v>293</v>
      </c>
    </row>
    <row r="295" spans="1:6" x14ac:dyDescent="0.2">
      <c r="A295" s="3" t="s">
        <v>263</v>
      </c>
      <c r="B295">
        <v>43.7</v>
      </c>
      <c r="C295">
        <v>-102.58</v>
      </c>
      <c r="D295" s="12" t="s">
        <v>362</v>
      </c>
      <c r="E295" s="12" t="s">
        <v>367</v>
      </c>
      <c r="F295" s="4" t="s">
        <v>293</v>
      </c>
    </row>
    <row r="296" spans="1:6" x14ac:dyDescent="0.2">
      <c r="A296" s="3" t="s">
        <v>264</v>
      </c>
      <c r="B296">
        <v>41.83</v>
      </c>
      <c r="C296">
        <v>-103.71</v>
      </c>
      <c r="D296" s="12" t="s">
        <v>362</v>
      </c>
      <c r="E296" s="12" t="s">
        <v>367</v>
      </c>
      <c r="F296" s="4" t="s">
        <v>293</v>
      </c>
    </row>
    <row r="297" spans="1:6" x14ac:dyDescent="0.2">
      <c r="A297" s="16" t="s">
        <v>32</v>
      </c>
      <c r="B297" s="16">
        <v>35.503709999999998</v>
      </c>
      <c r="C297" s="16">
        <v>-83.976110000000006</v>
      </c>
      <c r="D297" s="12" t="s">
        <v>361</v>
      </c>
      <c r="E297" s="12" t="s">
        <v>367</v>
      </c>
      <c r="F297" t="s">
        <v>9</v>
      </c>
    </row>
    <row r="298" spans="1:6" x14ac:dyDescent="0.2">
      <c r="A298" s="16" t="s">
        <v>7</v>
      </c>
      <c r="B298" s="16">
        <v>-44.006900999999999</v>
      </c>
      <c r="C298" s="16">
        <v>170.495575</v>
      </c>
      <c r="D298" s="12" t="s">
        <v>369</v>
      </c>
      <c r="E298" s="12" t="s">
        <v>367</v>
      </c>
      <c r="F298" t="s">
        <v>9</v>
      </c>
    </row>
    <row r="299" spans="1:6" x14ac:dyDescent="0.2">
      <c r="A299" s="16" t="s">
        <v>43</v>
      </c>
      <c r="B299" s="17">
        <v>44.951503000000002</v>
      </c>
      <c r="C299" s="17">
        <v>-74.932862999999998</v>
      </c>
      <c r="D299" s="12" t="s">
        <v>361</v>
      </c>
      <c r="E299" s="12" t="s">
        <v>367</v>
      </c>
      <c r="F299" t="s">
        <v>9</v>
      </c>
    </row>
    <row r="300" spans="1:6" x14ac:dyDescent="0.2">
      <c r="A300" t="s">
        <v>75</v>
      </c>
      <c r="B300">
        <v>31.842614999999999</v>
      </c>
      <c r="C300">
        <v>-85.892871</v>
      </c>
      <c r="D300" s="12" t="s">
        <v>361</v>
      </c>
      <c r="E300" s="12" t="s">
        <v>367</v>
      </c>
      <c r="F300" s="4" t="s">
        <v>9</v>
      </c>
    </row>
    <row r="301" spans="1:6" x14ac:dyDescent="0.2">
      <c r="A301" t="s">
        <v>130</v>
      </c>
      <c r="B301">
        <v>45.365580000000001</v>
      </c>
      <c r="C301">
        <v>-63.262650000000001</v>
      </c>
      <c r="D301" s="12" t="s">
        <v>361</v>
      </c>
      <c r="E301" s="12" t="s">
        <v>367</v>
      </c>
      <c r="F301" s="4" t="s">
        <v>293</v>
      </c>
    </row>
    <row r="302" spans="1:6" x14ac:dyDescent="0.2">
      <c r="A302" t="s">
        <v>284</v>
      </c>
      <c r="B302">
        <v>50.708055999999999</v>
      </c>
      <c r="C302">
        <v>26.567499999999999</v>
      </c>
      <c r="D302" s="12" t="s">
        <v>363</v>
      </c>
      <c r="E302" s="12" t="s">
        <v>368</v>
      </c>
      <c r="F302" s="4" t="s">
        <v>293</v>
      </c>
    </row>
    <row r="303" spans="1:6" x14ac:dyDescent="0.2">
      <c r="A303" s="16" t="s">
        <v>46</v>
      </c>
      <c r="B303" s="16">
        <v>48.307257</v>
      </c>
      <c r="C303" s="16">
        <v>15.898858000000001</v>
      </c>
      <c r="D303" s="23" t="s">
        <v>363</v>
      </c>
      <c r="E303" s="23" t="s">
        <v>368</v>
      </c>
      <c r="F303" t="s">
        <v>9</v>
      </c>
    </row>
    <row r="304" spans="1:6" x14ac:dyDescent="0.2">
      <c r="A304" s="3" t="s">
        <v>105</v>
      </c>
      <c r="B304">
        <v>59.848567500000001</v>
      </c>
      <c r="C304">
        <v>17.700063</v>
      </c>
      <c r="D304" s="12" t="s">
        <v>363</v>
      </c>
      <c r="E304" s="12" t="s">
        <v>368</v>
      </c>
      <c r="F304" s="4" t="s">
        <v>9</v>
      </c>
    </row>
    <row r="305" spans="1:6" x14ac:dyDescent="0.2">
      <c r="A305" s="3" t="s">
        <v>104</v>
      </c>
      <c r="B305">
        <v>59.855162200000002</v>
      </c>
      <c r="C305">
        <v>17.651915299999999</v>
      </c>
      <c r="D305" s="12" t="s">
        <v>363</v>
      </c>
      <c r="E305" s="12" t="s">
        <v>368</v>
      </c>
      <c r="F305" s="4" t="s">
        <v>293</v>
      </c>
    </row>
    <row r="306" spans="1:6" x14ac:dyDescent="0.2">
      <c r="A306" s="3" t="s">
        <v>265</v>
      </c>
      <c r="B306">
        <v>40.35</v>
      </c>
      <c r="C306">
        <v>-119.34</v>
      </c>
      <c r="D306" s="12" t="s">
        <v>362</v>
      </c>
      <c r="E306" s="12" t="s">
        <v>367</v>
      </c>
      <c r="F306" s="4" t="s">
        <v>293</v>
      </c>
    </row>
    <row r="307" spans="1:6" x14ac:dyDescent="0.2">
      <c r="A307" s="3" t="s">
        <v>266</v>
      </c>
      <c r="B307">
        <v>40.840000000000003</v>
      </c>
      <c r="C307">
        <v>-119.56</v>
      </c>
      <c r="D307" s="12" t="s">
        <v>362</v>
      </c>
      <c r="E307" s="12" t="s">
        <v>367</v>
      </c>
      <c r="F307" s="4" t="s">
        <v>293</v>
      </c>
    </row>
    <row r="308" spans="1:6" x14ac:dyDescent="0.2">
      <c r="A308" s="3" t="s">
        <v>267</v>
      </c>
      <c r="B308">
        <v>41.6</v>
      </c>
      <c r="C308">
        <v>-120.2</v>
      </c>
      <c r="D308" s="12" t="s">
        <v>362</v>
      </c>
      <c r="E308" s="12" t="s">
        <v>367</v>
      </c>
      <c r="F308" s="4" t="s">
        <v>9</v>
      </c>
    </row>
    <row r="309" spans="1:6" x14ac:dyDescent="0.2">
      <c r="A309" s="3" t="s">
        <v>100</v>
      </c>
      <c r="B309">
        <v>42.640529000000001</v>
      </c>
      <c r="C309">
        <v>-84.503669000000002</v>
      </c>
      <c r="D309" s="12" t="s">
        <v>361</v>
      </c>
      <c r="E309" s="12" t="s">
        <v>367</v>
      </c>
      <c r="F309" s="4" t="s">
        <v>293</v>
      </c>
    </row>
    <row r="310" spans="1:6" x14ac:dyDescent="0.2">
      <c r="A310" s="3" t="s">
        <v>83</v>
      </c>
      <c r="B310">
        <v>42.737524000000001</v>
      </c>
      <c r="C310">
        <v>-72.470337000000001</v>
      </c>
      <c r="D310" s="12" t="s">
        <v>361</v>
      </c>
      <c r="E310" s="12" t="s">
        <v>367</v>
      </c>
      <c r="F310" s="4" t="s">
        <v>293</v>
      </c>
    </row>
    <row r="311" spans="1:6" x14ac:dyDescent="0.2">
      <c r="A311" s="16" t="s">
        <v>24</v>
      </c>
      <c r="B311" s="16">
        <f>41 + (17 + 12.06/60)/60</f>
        <v>41.286683333333336</v>
      </c>
      <c r="C311" s="16">
        <f>-(96 + (14 + 48.852/60)/60)</f>
        <v>-96.246903333333336</v>
      </c>
      <c r="D311" s="12" t="s">
        <v>362</v>
      </c>
      <c r="E311" s="12" t="s">
        <v>367</v>
      </c>
      <c r="F311" t="s">
        <v>9</v>
      </c>
    </row>
    <row r="312" spans="1:6" x14ac:dyDescent="0.2">
      <c r="A312" s="16" t="s">
        <v>411</v>
      </c>
      <c r="B312" s="16">
        <v>40.802</v>
      </c>
      <c r="C312" s="16">
        <v>-100.679</v>
      </c>
      <c r="D312" s="12" t="s">
        <v>362</v>
      </c>
      <c r="E312" s="12" t="s">
        <v>367</v>
      </c>
      <c r="F312" t="s">
        <v>9</v>
      </c>
    </row>
    <row r="313" spans="1:6" x14ac:dyDescent="0.2">
      <c r="A313" s="3" t="s">
        <v>268</v>
      </c>
      <c r="B313">
        <v>41.32</v>
      </c>
      <c r="C313">
        <v>-105.54</v>
      </c>
      <c r="D313" s="12" t="s">
        <v>362</v>
      </c>
      <c r="E313" s="12" t="s">
        <v>367</v>
      </c>
      <c r="F313" s="4" t="s">
        <v>9</v>
      </c>
    </row>
    <row r="314" spans="1:6" x14ac:dyDescent="0.2">
      <c r="A314" s="3" t="s">
        <v>269</v>
      </c>
      <c r="B314">
        <v>41.31</v>
      </c>
      <c r="C314">
        <v>-105.66</v>
      </c>
      <c r="D314" s="12" t="s">
        <v>362</v>
      </c>
      <c r="E314" s="12" t="s">
        <v>367</v>
      </c>
      <c r="F314" s="4" t="s">
        <v>293</v>
      </c>
    </row>
    <row r="315" spans="1:6" x14ac:dyDescent="0.2">
      <c r="A315" s="3" t="s">
        <v>84</v>
      </c>
      <c r="B315">
        <v>43.647714999999998</v>
      </c>
      <c r="C315">
        <v>-72.317936000000003</v>
      </c>
      <c r="D315" s="12" t="s">
        <v>361</v>
      </c>
      <c r="E315" s="12" t="s">
        <v>367</v>
      </c>
      <c r="F315" s="4" t="s">
        <v>293</v>
      </c>
    </row>
    <row r="316" spans="1:6" x14ac:dyDescent="0.2">
      <c r="A316" s="3" t="s">
        <v>131</v>
      </c>
      <c r="B316">
        <v>44.841944439999999</v>
      </c>
      <c r="C316">
        <v>20.403333329999999</v>
      </c>
      <c r="D316" s="12" t="s">
        <v>364</v>
      </c>
      <c r="E316" s="12" t="s">
        <v>368</v>
      </c>
      <c r="F316" s="4" t="s">
        <v>293</v>
      </c>
    </row>
    <row r="317" spans="1:6" x14ac:dyDescent="0.2">
      <c r="A317" t="s">
        <v>285</v>
      </c>
      <c r="B317">
        <v>47.388635999999998</v>
      </c>
      <c r="C317">
        <v>8.5881179999999997</v>
      </c>
      <c r="D317" s="12" t="s">
        <v>363</v>
      </c>
      <c r="E317" s="12" t="s">
        <v>368</v>
      </c>
      <c r="F317" s="4" t="s">
        <v>293</v>
      </c>
    </row>
    <row r="318" spans="1:6" ht="17" x14ac:dyDescent="0.2">
      <c r="A318" s="21" t="s">
        <v>415</v>
      </c>
      <c r="B318" s="22">
        <v>53.096041999999997</v>
      </c>
      <c r="C318" s="22">
        <v>18.331047000000002</v>
      </c>
      <c r="D318" s="12" t="s">
        <v>363</v>
      </c>
      <c r="E318" s="12" t="s">
        <v>368</v>
      </c>
      <c r="F318" t="s">
        <v>9</v>
      </c>
    </row>
  </sheetData>
  <sortState xmlns:xlrd2="http://schemas.microsoft.com/office/spreadsheetml/2017/richdata2" ref="A2:G318">
    <sortCondition ref="A2:A3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</vt:lpstr>
      <vt:lpstr>all_coords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Gamba, Diana</cp:lastModifiedBy>
  <dcterms:created xsi:type="dcterms:W3CDTF">2021-09-16T16:09:14Z</dcterms:created>
  <dcterms:modified xsi:type="dcterms:W3CDTF">2025-03-24T22:29:06Z</dcterms:modified>
</cp:coreProperties>
</file>